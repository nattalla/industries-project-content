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rooted-attalla/Documents/Rooted/rooted-website-content/"/>
    </mc:Choice>
  </mc:AlternateContent>
  <xr:revisionPtr revIDLastSave="0" documentId="8_{793C2560-9BDF-494B-9038-5FBE71A5D492}" xr6:coauthVersionLast="47" xr6:coauthVersionMax="47" xr10:uidLastSave="{00000000-0000-0000-0000-000000000000}"/>
  <bookViews>
    <workbookView xWindow="38400" yWindow="800" windowWidth="38400" windowHeight="17000" xr2:uid="{00000000-000D-0000-FFFF-FFFF00000000}"/>
  </bookViews>
  <sheets>
    <sheet name="sector-content-track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 i="1" l="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<sst xmlns="http://schemas.openxmlformats.org/spreadsheetml/2006/main" count="321" uniqueCount="209">
  <si>
    <t>Sector Name</t>
  </si>
  <si>
    <t>Breadcrumb</t>
  </si>
  <si>
    <t>Industry</t>
  </si>
  <si>
    <t>Status</t>
  </si>
  <si>
    <t>Sector Excerpt</t>
  </si>
  <si>
    <t>Featured Image Filename</t>
  </si>
  <si>
    <t>Live URL</t>
  </si>
  <si>
    <t>sector_tagline</t>
  </si>
  <si>
    <t>industry_context</t>
  </si>
  <si>
    <t>sector-operational_challenges</t>
  </si>
  <si>
    <t>sector-operational_challenge_1</t>
  </si>
  <si>
    <t>sector-operational_challenge_2</t>
  </si>
  <si>
    <t>sector-operational_challenge_3</t>
  </si>
  <si>
    <t>sector-operational_challenge_4</t>
  </si>
  <si>
    <t>sector_friction_point_1</t>
  </si>
  <si>
    <t>sector_friction_point_2</t>
  </si>
  <si>
    <t>sector_friction_point_3</t>
  </si>
  <si>
    <t>sector_friction_point_4</t>
  </si>
  <si>
    <t>sector_solutions_summary</t>
  </si>
  <si>
    <t>ona-sector_solutions</t>
  </si>
  <si>
    <t>ocm-sector_solutions</t>
  </si>
  <si>
    <t>bpe-sector_solutions</t>
  </si>
  <si>
    <t>ode-sector_solutions</t>
  </si>
  <si>
    <t>osd-sector_solutions</t>
  </si>
  <si>
    <t>case_scenarios_1</t>
  </si>
  <si>
    <t>case_scenarios_2</t>
  </si>
  <si>
    <t>case_scenarios_3</t>
  </si>
  <si>
    <t>cta_text</t>
  </si>
  <si>
    <t>Notes</t>
  </si>
  <si>
    <t>3PL &amp; Freight Forwarding</t>
  </si>
  <si>
    <t>Logistics &amp; Transportation</t>
  </si>
  <si>
    <t>Complete</t>
  </si>
  <si>
    <t>LT-pt2-38-Large.jpeg</t>
  </si>
  <si>
    <t>https://bemorerooted.com/sectors/3pl-freight-forwarding/</t>
  </si>
  <si>
    <t>Growth Amid Labor Pressures and Customer Demands</t>
  </si>
  <si>
    <t>The global 3PL market is projected to reach $2,442.3 billion by 2032, driven by e-commerce expansion (which now accounts for 70% of many 3PLs' business portfolios), omnichannel retail complexity, and increased outsourcing as shippers seek greater business and technology value.¹'² However, this growth comes with substantial pressure points. Over 56% of 3PL providers reported in 2022 that workforce shortages had negatively impacted their supply chain functions, and the situation has intensified—the industry faces a projected global shortfall of nearly 2.1 million supply chain workers by 2025.³'⁴ The warehousing and transportation sector experiences turnover rates of 57.3% annually, meaning providers are replacing more than half of their frontline workforce every year.⁵ Labor costs now account for approximately 40% of total operating costs for nearly 60% of 3PL providers, with 79% reporting concerns about increased labor expenses and competitive wage pressures.⁶</t>
  </si>
  <si>
    <t>Labor shortages, client expectations, technology adoption, and margin pressures</t>
  </si>
  <si>
    <t>Persistent labor shortages and high turnover. The 3PL industry experiences an annual turnover rate exceeding 57%, with replacement costs reaching 50-60% of annual salary.⁵'⁹ This turnover disrupts client service, increases training costs, limits growth capacity, and prevents operational consistency. Experienced warehouse staff and drivers leave just as they become proficient, and service quality varies by shift and location.</t>
  </si>
  <si>
    <t>Escalating client expectations and service requirements. Clients expect faster delivery (80% of consumers expect same-day delivery), real-time visibility, accurate tracking, flexible return options, and sustainability commitments.¹⁰ Meeting these expectations requires investment in technology, optimized distribution networks, and last-mile capabilities—all while maintaining competitive pricing. Failing to meet service expectations results in lost clients, negative reviews, and competitive disadvantage.</t>
  </si>
  <si>
    <t>Technology implementation and system integration. 3PLs must implement warehouse management systems, transportation management platforms, AI-powered route optimization, automation, and cybersecurity protections—but system integration challenges, lack of skilled personnel, and making the right technology investments create barriers.² Many 3PLs operate with fragmented systems that don't integrate cleanly, preventing visibility and creating manual workarounds that increase errors.</t>
  </si>
  <si>
    <t>Cost management and margin pressure. Warehouse rental rates increased 11.8% while labor costs grew 7.4% in 2023.¹¹ Fuel cost volatility, regulatory compliance expenses, unexpected demand shifts, and client price sensitivity squeeze margins. Managing expenses is the primary concern for 48% of 3PLs.¹¹ Balancing cost control with service quality and growth investment is difficult when operating costs—facilities, labor, technology, equipment, shipping—have risen steadily.</t>
  </si>
  <si>
    <t>You can't see the informal networks that make client service work. Org charts show account managers and operations supervisors, but not which dispatcher coordinates best with specific carriers, which warehouse lead handles complex client requirements most effectively, or which customer service rep clients actually trust. When these people leave, service quality drops and clients notice.</t>
  </si>
  <si>
    <t>Technology projects don't deliver expected ROI. You invested in a new WMS or TMS designed to improve efficiency and visibility. The system works technically, but adoption is inconsistent, workflows weren't redesigned to match capabilities, integration with carrier systems is problematic, and clients aren't seeing the promised visibility improvements. Eight months post-implementation, client satisfaction with visibility hasn't improved and warehouse productivity is flat.</t>
  </si>
  <si>
    <t>Client onboarding is inconsistent and slow. New client implementations take longer than projected. Requirements gathering is incomplete. Service level expectations aren't clearly defined. Operations teams aren't properly trained on client-specific needs. Launch is chaotic, and the first months are damage control rather than relationship building. What should take 3-4 months consistently stretches to 6-9 months.</t>
  </si>
  <si>
    <t>Workforce instability prevents operational excellence. High turnover means constant training. Tribal knowledge walks out regularly. You know stability would improve performance, but you're stuck in a cycle where inefficiency causes stress, stress causes turnover, and turnover causes more inefficiency. You win new clients but struggle to scale operations fast enough because hiring can't keep pace with growth.</t>
  </si>
  <si>
    <t>We don't bring generic frameworks about logistics excellence. Our approaches work in 3PL environments where you need to manage workforce turnover, meet escalating client expectations, integrate technology across operations, and protect margins simultaneously.</t>
  </si>
  <si>
    <t>Map Critical Client Service Networks
 Successful 3PL operations rely on informal networks, like dispatchers who know which carriers to call for urgent shipments, trusted warehouse supervisors, and operations managers who coordinate complex logistics. We identify these critical knowledge holders whose departure would disrupt client service, map communication patterns between teams to reveal coordination gaps, and understand informal workflows that make client commitments achievable. This visibility protects institutional knowledge, enables strategic succession planning, and improves cross-functional coordination before key people leave or the organization restructures.</t>
  </si>
  <si>
    <t>Drive Technology and Process Adoption
 3PLs constantly implement new technology like WMS upgrades, TMS platforms, automation, and carrier integration systems. However, change only succeeds when employees and clients adopt it. We design change programs that include leadership alignment, employee engagement, client communication, phased rollouts, and post-launch support. We help redesign workflows, engage influencers, and create feedback loops to address resistance. Well-managed change leads to faster ROI, maintained service levels, and enhanced client satisfaction.</t>
  </si>
  <si>
    <t>Optimize Client Service Workflows
 Efficient processes boost 3PL profitability and client satisfaction. We map workflows to identify bottlenecks and inefficiencies. We optimize client onboarding to accelerate implementation, standardize requirements gathering, improve sales-operations communication, and reduce launch friction. We redesign warehouse receiving and fulfillment for accuracy and throughput. We improve carrier coordination and load planning to reduce transportation costs and improve on-time performance. We streamline billing and invoicing to reduce errors and payment cycles. Our practical process improvements prioritize client service in real 3PL environments.</t>
  </si>
  <si>
    <t>Build Workforce Resilience
 Sustainable 3PL performance demands workforce capability. We analyze turnover root causes (compensation, work conditions, management, career development) and design retention strategies: competitive pay, flexible scheduling, clear career paths, performance recognition, and frontline leadership development. We design organizational structures for client growth, including account management, operations capacity, and coordination. We develop workforce planning models considering seasonality, client acquisition, and automation.</t>
  </si>
  <si>
    <t>High turnover disrupting client service quality. A regional 3PL with 60% annual warehouse turnover struggled with inconsistent fulfillment accuracy, client complaints about service quality, and constant training demands. Our workforce diagnostic revealed turnover wasn't primarily wage-driven—it was inflexible scheduling, limited advancement, and inconsistent management. We designed retention strategies: flexible shifts, skill-based progression, supervisor training, recognition programs. Twelve months later, turnover dropped to 38%, fulfillment accuracy improved to 99.6%, and client satisfaction scores increased.</t>
  </si>
  <si>
    <t>Client onboarding takes too long and launches are chaotic. A 3PL won new clients but implementations consistently took 6-9 months instead of projected 3-4 months. Launches were rocky, with billing errors, inventory discrepancies, and service issues. We mapped the onboarding process, identifying unclear requirements, poor handoffs between sales and operations, inadequate training, and missing documentation. We redesigned onboarding: standardized requirements templates, clear implementation milestones, dedicated transition teams, comprehensive training, pre-launch testing protocols. New client implementations now complete in 3.5 months with smooth launches.</t>
  </si>
  <si>
    <t>WMS investment not delivering expected visibility and efficiency. A 3PL invested $800K in a new WMS to improve inventory visibility and client reporting. Eight months post-implementation, client satisfaction with visibility hadn't improved and warehouse productivity was flat. Our assessment revealed that client portals weren't intuitive, reporting didn't match client needs, warehouse workflows weren't redesigned for the system, and staff used workarounds. We redesigned client-facing interfaces, customized reporting to client requirements, optimized warehouse workflows, conducted targeted training, and implemented feedback loops. Six months later, client portal usage increased 300%, visibility scores improved, and productivity gains reached 22%.</t>
  </si>
  <si>
    <t>If you're leading a 3PL or freight forwarding operation and dealing with workforce instability, client service consistency challenges, technology adoption barriers, or growth constraints, we should talk. We're not here to sell you a transformation program that sits on a shelf—we're here to design solutions that work in real 3PL environments where client commitments can't be compromised.</t>
  </si>
  <si>
    <t>Example row - fill with actual content</t>
  </si>
  <si>
    <t>4PL &amp; End-to-End Logistics</t>
  </si>
  <si>
    <t>Transportation</t>
  </si>
  <si>
    <t>Warehousing &amp; Storage</t>
  </si>
  <si>
    <t>Supply Chain Management &amp; Technology</t>
  </si>
  <si>
    <t>Consumer Goods Manufacturing</t>
  </si>
  <si>
    <t>Manufacturing</t>
  </si>
  <si>
    <t>In Progress</t>
  </si>
  <si>
    <t>Materials &amp; Chemical Manufacturing</t>
  </si>
  <si>
    <t>Not Started</t>
  </si>
  <si>
    <t>Industrial &amp; Equipment Manufacturing</t>
  </si>
  <si>
    <t>Technology &amp; Transportation Manufacturing</t>
  </si>
  <si>
    <t>Manufacturing Plants</t>
  </si>
  <si>
    <t>Hardware</t>
  </si>
  <si>
    <t>Technology</t>
  </si>
  <si>
    <t>Software</t>
  </si>
  <si>
    <t>IT Services</t>
  </si>
  <si>
    <t>Internet &amp; Digital Services</t>
  </si>
  <si>
    <t>Emerging Technology</t>
  </si>
  <si>
    <t>Telecommunications &amp; Networking</t>
  </si>
  <si>
    <t>Health &amp; Biotech</t>
  </si>
  <si>
    <t>Food &amp; Beverage</t>
  </si>
  <si>
    <t>Consumer Products</t>
  </si>
  <si>
    <t>Apparel &amp; Footwear</t>
  </si>
  <si>
    <t>Consumer Electronics</t>
  </si>
  <si>
    <t>Personal Care &amp; Household Products</t>
  </si>
  <si>
    <t>Furniture &amp; Home Goods</t>
  </si>
  <si>
    <t>Sporting Goods &amp; Outdoor Equipment</t>
  </si>
  <si>
    <t>Banking</t>
  </si>
  <si>
    <t>Financial &amp; Insurance Services</t>
  </si>
  <si>
    <t>Credit &amp; Lending</t>
  </si>
  <si>
    <t>Securities &amp; Investments</t>
  </si>
  <si>
    <t>Fintech</t>
  </si>
  <si>
    <t>Financial Advisory &amp; Consulting</t>
  </si>
  <si>
    <t>Life Insurance &amp; Annuities</t>
  </si>
  <si>
    <t>Health Insurance</t>
  </si>
  <si>
    <t>Property &amp; Casualty Insurance</t>
  </si>
  <si>
    <t>Reinsurance</t>
  </si>
  <si>
    <t>Insurance Brokerage &amp; Agencies</t>
  </si>
  <si>
    <t>Insurance Technology</t>
  </si>
  <si>
    <t>Private Equity</t>
  </si>
  <si>
    <t>Private Capital</t>
  </si>
  <si>
    <t>Venture Capital</t>
  </si>
  <si>
    <t>Private Credit/ Debt</t>
  </si>
  <si>
    <t>Real Assets</t>
  </si>
  <si>
    <t>Fund of Funds (FoF)</t>
  </si>
  <si>
    <t>https://bemorerooted.com/sectors/4pl-end-to-end-logistics/</t>
  </si>
  <si>
    <t>Integrating providers for a unified service delivery and resilient organizational architecture</t>
  </si>
  <si>
    <t>Orchestrating multi-partner networks amid rising complexity</t>
  </si>
  <si>
    <t>Strategic Integration in a Complex Supply Chain Era</t>
  </si>
  <si>
    <t>Fourth-party logistics providers face a unique challenge: orchestrating multiple service providers, technologies, and operational models into a seamless supply chain solution. The 4PL market, valued at $73.92 billion in 2025 and projected to reach $141.74 billion by 2034¹’², reflects how companies increasingly need strategic partners who deliver end-to-end visibility and resilience—not just tactical execution. When vendor coordination breaks down, technology integrations fail, or service delivery becomes fragmented across your network, even strong client relationships suffer.</t>
  </si>
  <si>
    <t>Network coordination, technology integration, ROI justification, and talent retention</t>
  </si>
  <si>
    <t>Workforce expertise and talent retention.Running 4PL operations requires specialized talent: supply chain strategists who understand end-to-end network design, data analysts who turn complex logistics data into actionable insights, technology specialists who integrate disparate systems, and client relationship managers who navigate multi-stakeholder coordination. Competition for this talent is intense. When key people leave, institutional knowledge about client networks and partner relationships walks out the door.</t>
  </si>
  <si>
    <t>Managing multi-partner networks without losing control. You’re coordinating multiple 3PLs, carriers, warehousing operations, and technology vendors through a single integrator. When something goes wrong—a shipment delay, a quality issue, a system failure—identifying root cause across multiple partners is difficult. Day-to-day coordination requires constant communication, data sharing, and relationship management across organizations with different systems, cultures, and priorities.</t>
  </si>
  <si>
    <t>Technology integration and data visibility. Real-time visibility into shipments, inventory levels, order status, and carrier performance across multiple systems is essential but rarely seamless. Legacy transportation management systems don’t talk to modern warehouse management platforms. Carriers use different EDI standards. Data quality varies across partners. Many 4PL implementations struggle because the promised visibility never materializes—not because the technology doesn’t exist, but because integration complexity was underestimated.</t>
  </si>
  <si>
    <t>Cost management and ROI justification. 4PL services come at a premium. The strategic planning, technology integration, and end-to-end coordination costs more than simply outsourcing warehousing or transportation. For mid-market companies, justifying this investment requires demonstrating clear ROI: cost savings from network optimization, efficiency gains from better coordination, risk mitigation from improved visibility. When CFOs scrutinize every dollar, 4PL contracts face pressure. If the value isn’t tangible and measurable, investment gets cut.</t>
  </si>
  <si>
    <t>Common Friction Points in the 4PL &amp; End-To-End Logistics Space</t>
  </si>
  <si>
    <t>sector_friction_point_heading (where leaders get stuck)</t>
  </si>
  <si>
    <t>Common Friction Points in the 3PL &amp; Freight Forwarding Space</t>
  </si>
  <si>
    <t>You can’t see where operational dependencies actually exist across your network.Your 4PL contract says you have end-to-end visibility. In reality, you know where shipments are, but you don’t know which account managers at your 3PL partners are critical relationship holders, which operations managers solve problems informally, or which technology specialists keep integrations running. When personnel changes happen at partner organizations, service quality drops and nobody knows why.</t>
  </si>
  <si>
    <t>Partner performance is inconsistent and accountability is unclear.
One of your 3PL partners consistently delivers on time. Another struggles with accuracy and responsiveness. Your 4PL provider is supposed to manage these relationships, but when problems occur, accountability becomes blurred. Are performance issues the 3PL’s fault, the carrier’s fault, or the result of how your 4PL coordinates between them? Without clear visibility into how the network actually operates, you’re stuck managing symptoms rather than addressing root causes.</t>
  </si>
  <si>
    <t>Client expectations are difficult to manage across a multi-partner operation.
Clients expect the seamless coordination you promised. When issues arise—and they will—clients want immediate answers and rapid resolution. But getting information from multiple partners, diagnosing problems across a complex network, and implementing solutions that require coordination across organizations takes time. Managing client expectations while dealing with operational complexity is exhausting.</t>
  </si>
  <si>
    <t>Technology implementations don’t deliver promised visibility.
You invested in a control tower platform that was supposed to provide real-time visibility across your entire supply chain. Six months later, data quality is inconsistent, some partners aren’t feeding information into the system properly, and your team is still making phone calls to track down shipment status. The technology works—for the partners who use it correctly. But adoption across a multi-partner network is harder than anyone anticipated.</t>
  </si>
  <si>
    <t>How Rooted Helps Leaders in the Logistics &amp; Transportation Industry
We don’t arrive with frameworks about supply chain excellence. Our approaches work in 4PL environments where you need to coordinate multiple partners, demonstrate clear value to clients, and justify premium pricing simultaneously.</t>
  </si>
  <si>
    <t>Map critical dependencies and identify informal influencers within fourth-party logistics operations to ensure client service continuity and successful technology adoption.
Identify critical client relationship holders
Map dispatcher-carrier coordination networks
Reveal cross-functional communication gaps
Protect institutional knowledge before transitions</t>
  </si>
  <si>
    <t>Fourth-party logistics operations are streamlined by proactively identifying and resolving exceptions, standardizing data exchange protocols, and implementing automated status updates.  This results in faster information flow, reduced manual effort, and fewer miscommunications.
Client onboarding process standardization
Warehouse receiving and fulfillment optimization
Carrier coordination and load planning
Billing and invoicing accuracy improvement</t>
  </si>
  <si>
    <t>Partner buy-in is crucial for managing change in 4PL environments. Transition management programs are designed to minimize disruption and ensure service continuity during 3PL consolidation or carrier transitions.
WMS and TMS adoption strategies
Client communication during system transitions
Workflow redesign for technology capabilities
Employee and client training programs</t>
  </si>
  <si>
    <t>Assess current capabilities, identify gaps, and design development programs to build competencies for a successful 4PL model. This includes defining roles, developing skills, and building knowledge management systems.
Turnover root cause analysis and solutions
Career pathway development for frontline staff
Account management and operations scaling
Workforce planning for client growth</t>
  </si>
  <si>
    <t>sector_common_scenarios_heading</t>
  </si>
  <si>
    <t>How We’ve Helped 4PL &amp; End-To-End Logistics Organizations with Operations
Common Cases and Realistic Scenarios with Tangible Outcomes</t>
  </si>
  <si>
    <t>How We’ve Helped 3PL &amp; Freight Forwarding Organizations with Operations
Common Cases and Realistic Scenarios with Tangible Outcomes</t>
  </si>
  <si>
    <t>Technology platform not delivering promised visibility.
A 4PL provider invested $2.3M in a control tower platform to provide real-time supply chain visibility across multiple 3PL partners. Ten months post-implementation, only 40% of partners consistently fed data into the system, and client satisfaction with visibility hadn’t improved. Our assessment revealed partners weren’t resistant—they found the data submission process cumbersome and unclear. We redesigned partner interfaces, created simple data submission protocols, and identified influencers within each partner organization to drive adoption. Eight months later, partner data compliance reached 94%, and clients reported significant improvement in visibility and responsiveness.</t>
  </si>
  <si>
    <t>Client onboarding taking too long and creating friction.
A 4PL provider’s new client implementations consistently took 7-9 months instead of projected 4 months. Launches were rocky, with visibility gaps, communication problems, and expectation misalignment. We mapped the onboarding process and found unclear requirements gathering, poor handoffs between sales and operations, and unrealistic timelines. We redesigned onboarding with standardized requirements templates, clear implementation milestones, dedicated transition teams, and phased rollouts that prioritized high-impact capabilities first. New implementations now complete in 4.5 months with smooth launches and stronger client relationships.</t>
  </si>
  <si>
    <t>Multi-partner network coordination creating service inconsistency.
A mid-market 4PL managing logistics for healthcare distribution faced inconsistent service levels across their 3PL partner network. Some partners delivered reliably, others struggled with accuracy and responsiveness, and accountability was unclear. Our ONA revealed critical relationship holders at high-performing partners and communication breakdowns at underperforming ones. We redesigned partner management processes, established clear performance protocols, and created escalation frameworks. Twelve months later, on-time delivery improved from 87% to 96%, and client retention increased.</t>
  </si>
  <si>
    <t>cta_heading</t>
  </si>
  <si>
    <t>Let's talk about what's next</t>
  </si>
  <si>
    <t>If you’re leading 4PL operations and dealing with multi-partner coordination challenges, technology adoption barriers, or client service consistency issues, we should talk. We’re not here to sell you a transformation roadmap that sits on a shelf—we’re here to design solutions that work in real 4PL environments where operational complexity and client commitments can’t be compromised.</t>
  </si>
  <si>
    <t>LT-part3-13-Large.jpeg</t>
  </si>
  <si>
    <t>Standardizing adaptable processes for all your freight needs.</t>
  </si>
  <si>
    <t>Industry_context_heading</t>
  </si>
  <si>
    <t>Third-party logistics providers must create standardized processes adaptable to unique client needs.</t>
  </si>
  <si>
    <t>https://bemorerooted.com/sectors/transportation/</t>
  </si>
  <si>
    <t>Aligning diverse workforces around your shared goals</t>
  </si>
  <si>
    <t>Coordinating teams, technology, and operations centered around your organization</t>
  </si>
  <si>
    <t>Driving adoption and alignment in logistics systems</t>
  </si>
  <si>
    <t>LT-pt2-33-Large.jpeg</t>
  </si>
  <si>
    <t>Navigating Margin Pressure and Market Uncertainty</t>
  </si>
  <si>
    <t>Managing diverse workforces in transportation requires techniques that respect individual differences while achieving shared operational goals.</t>
  </si>
  <si>
    <t>The transportation industry is experiencing one of its most challenging periods since the 2008 financial crisis. Asset-based carriers—trucking companies, rail operators, and barge lines that own and operate their own equipment—are caught between rising operational costs and freight rates that haven’t kept pace. According to the American Transportation Research Institute, the truckload sector reported an average operating margin of -2.3% in 2024, with most segments struggling to maintain margins above 2%.¹ Non-fuel operating costs hit record highs at $1.78 per mile while contract rates remained depressed.² The freight recession that began in late 2022 has persisted longer than forecasted, and recovery entering late 2025 remains fragile and uneven across segments. Companies that don’t actively address operational inefficiency, driver retention, and technology adoption will fall further behind.</t>
  </si>
  <si>
    <t>Rising costs, persistent driver issues, and technology gaps</t>
  </si>
  <si>
    <t>Driver Recruitment and Retention Crisis
The driver shortage isn’t hypothetical. Industry estimates place the gap between 60,000 and 80,000 drivers in 2025, with projections climbing to over 170,000 by 2030.³ The average driver age has reached 48, and retirements are accelerating faster than new entrants join the industry.⁴ Recruiting is expensive—especially when competing against larger carriers offering sign-on bonuses you can’t afford. Retention is even harder. When drivers leave after six months, you’ve invested in recruiting, training, and onboarding with nothing to show for it. The lifestyle demands of over-the-road trucking push younger workers toward other industries, and the federal requirement that interstate drivers be 21 limits your talent pipeline.</t>
  </si>
  <si>
    <t>Operational Inefficiency and Process Gaps
Empty miles averaged 16.7% across the industry in 2024—meaning nearly one in six miles driven generates zero revenue.¹ Load planning is inconsistent. Some planners are excellent at sequencing loads and minimizing deadhead; others leave money on the table every day. Billing and settlements are manual. Driver pay calculations take hours. Invoice errors create disputes with brokers and shippers that delay payment. Maintenance schedules are reactive rather than predictive, leading to unexpected breakdowns and downtime. You know these inefficiencies exist, but without clear process documentation and consistent execution, improvement feels impossible.</t>
  </si>
  <si>
    <t>Technology Implementation Failures
Transportation management systems, route optimization software, and electronic logging devices promise efficiency gains, but many carriers struggle with adoption. You invested in a new TMS that was supposed to streamline dispatch, improve load planning, and provide real-time visibility. Eight months later, half your dispatchers are still using spreadsheets and phone calls because the system is “too complicated” or “takes longer than the old way.” ELD compliance is mandatory, but integration with back-office systems remains clunky. Real-time tracking exists, but customer-facing visibility tools sit unused because nobody implemented them properly. Technology only works when people actually use it.</t>
  </si>
  <si>
    <t>Margin Pressure and Cost Management
Fuel costs remain volatile. Insurance premiums jumped 3% in 2024 after a 12.5% spike the prior year, hitting a record high of $0.102 per mile.¹ Truck and trailer lease payments rose 8.3%, reaching $0.39 per mile.⁵ Driver wage pressures persist—you need to pay competitively to attract and retain talent, but raising wages squeezes already thin margins. Equipment costs are high due to tariffs on imported parts and trucks. You’re managing expenses line by line, but freight rates haven’t recovered enough to offset these increases. The operating ratio that used to sit at 93% now hovers at 96% or worse. At some point, cost-cutting alone won’t save you.</t>
  </si>
  <si>
    <t>Common Friction Points in the Logistics &amp; Transportation Industry</t>
  </si>
  <si>
    <t>You don’t know why some planners perform better than others.
Your top load planner consistently hits 12% empty miles while others average 18%. One dispatcher keeps drivers happy and retention is strong; another has constant turnover. You suspect it’s about relationships, communication style, or problem-solving ability—but you can’t see the informal networks and knowledge flows that make the difference. When your best performers leave or retire, their expertise walks out the door, and you realize how much institutional knowledge was never documented.</t>
  </si>
  <si>
    <t>Dispatch and driver communication breaks down.
Drivers say dispatch doesn’t communicate load changes clearly. Dispatchers say drivers don’t respond promptly or follow instructions. Loads get missed. Appointments are late. Customers complain. The org chart shows clear reporting lines, but in practice, communication is fragmented. Some drivers text their favorite dispatcher directly. Others call the office and talk to whoever answers. There’s no standard process, and when things go wrong, finger-pointing starts instead of problem-solving.</t>
  </si>
  <si>
    <t>Back-office inefficiency causes snowball cash flow problems.
Your accounting team is overwhelmed with invoices, driver settlements, and payment reconciliation. Brokers dispute charges due to missing or incorrect documentation. Payment cycles extend to 45 or 60 days. Driver pay is delayed because settlement calculations are manual and time-consuming. Factoring companies exist, but high fees reduce margins. The root problem is inefficient billing and settlement processes, not financing.</t>
  </si>
  <si>
    <t>Technology rollouts fail because adoption is low.
You bought the TMS. You paid for training. You sent the announcement emails. Six months later, usage is at 40%, and people are working around the system rather than with it. The vendor says the platform is working fine. Your IT team says training was provided. But if dispatchers, drivers, and back-office staff aren’t using the tools, your investment isn’t delivering ROI. The people side of technology implementation—change management, influencer engagement, workflow redesign—was an afterthought, and now you’re stuck.</t>
  </si>
  <si>
    <t>How Rooted Helps Leaders in the Logistics &amp; Transportation Industry
Sustainable carrier performance requires workforce capability and organizational structure that supports growth. This involves analyzing turnover root causes, designing retention strategies, and developing succession plans. Additionally, redesigning workflows for efficiency, driving TMS adoption, and mapping critical operational networks are essential for improved performance.</t>
  </si>
  <si>
    <t>Map informal networks that drive operational performance. Identify critical knowledge holders, reveal coordination gaps, and protect institutional knowledge before key people leave.
Identify critical client relationship holders
Map dispatcher-carrier coordination networks
Reveal cross-functional communication gaps
Protect institutional knowledge before transitions</t>
  </si>
  <si>
    <t>Drive technology and process adoption across operations. Engage influencers, deliver role-specific training, and manage transitions without disrupting service.
WMS and TMS adoption strategies
Client communication during system transitions
Workflow redesign for technology capabilities
Employee and client training programs</t>
  </si>
  <si>
    <t>Redesign operational workflows for efficiency. Standardize planning, streamline billing, optimize dispatch, and implement preventive maintenance that reduces costs.
Client onboarding process standardization
Warehouse receiving and fulfillment optimization
Carrier coordination and load planning
Billing and invoicing accuracy improvement</t>
  </si>
  <si>
    <t>Build driver retention and leadership capability. Diagnose turnover causes, design practical retention strategies, and create succession plans for critical roles.
Turnover root cause analysis and solutions
Career pathway development for frontline staff
Account management and operations scaling
Workforce planning for client growth</t>
  </si>
  <si>
    <t>How Rooted Helps Leaders in the Logistics &amp; Transportation Industry
Common Cases and Realistic Scenarios with Tangible Outcomes</t>
  </si>
  <si>
    <t>TMS investment not delivering expected efficiency gains
A regional carrier with 80 trucks invested $180K in a modern TMS designed to streamline dispatch, load planning, and customer visibility. Eight months post-launch, adoption among dispatchers was at 30%. Senior dispatchers said it was “too slow” and “more complicated than the old system.” The CEO was frustrated—the technology works, so why aren’t people using it? We conducted discovery interviews with dispatchers and organizational network analysis of the operations team. We learned that the most influential dispatchers weren’t involved in system selection and the workflow didn’t match how they actually work. Training was too generic and didn’t address their specific concerns. We brought key dispatchers into a working group to customize workflows, created role-specific quick-start guides focused on efficiency gains, identified early adopters as champions, and implemented a phased adoption plan with ongoing support. Within five months, adoption rose to 82%, dispatch efficiency improved by 15%, and customer visibility complaints dropped by 60%.</t>
  </si>
  <si>
    <t>High driver turnover eroding margins and service quality
A 60-truck carrier struggled with 85% annual driver turnover—well above industry averages. Recruiting costs reached $150K per year, and constant turnover created safety risks and service inconsistencies. Exit interviews provided generic feedback, but leadership didn’t know the root cause. We conducted confidential interviews with current drivers and recent departures. We learned that pay was competitive, but home-time promises weren’t kept, communication from dispatch was inconsistent, and drivers felt disrespected when they raised concerns. We redesigned dispatch workflows to improve communication consistency, created home-time guidelines that were realistic and enforceable, implemented driver feedback sessions with leadership, and trained dispatchers on communication and conflict resolution. Within 12 months, turnover dropped to 55%, recruiting costs declined by $90K, safety scores improved, and customer satisfaction increased.</t>
  </si>
  <si>
    <t>Empty miles above industry benchmarks without clear cause
A mid-market trucking company averaged 19% empty miles—significantly above industry benchmarks. Leadership knew this was costing money but didn’t understand why some planners performed better than others. We shadowed load planners, mapped their decision-making process, and analyzed load data. We found that top performers used specific sequencing strategies, prioritized certain lanes, and maintained relationships with brokers who offered backhauls. Others lacked these skills and strategies. We documented best practices, created a standardized load planning process, built lane analysis tools that highlighted profitable backhaul opportunities, and provided targeted training. After implementation, empty miles dropped to 13%, revenue per truck increased by $8,000 annually, and planning performance became consistent across the team.</t>
  </si>
  <si>
    <t xml:space="preserve">If you’re leading a regional or mid-market transportation company and dealing with margin pressure, driver retention challenges, technology adoption struggles, or operational inefficiency, Rooted can help. We’re not here to sell you a transformation roadmap that sits on a shelf. We’re here to understand your specific challenges and design solutions that work for your operation.
</t>
  </si>
  <si>
    <t>Growth Amid Labor Pressures and Automation Demands</t>
  </si>
  <si>
    <t>Warehousing operations require seamless coordination between technology, processes, and people to efficiently move goods and build adaptable teams.</t>
  </si>
  <si>
    <t>The warehousing and storage industry is experiencing significant growth while facing substantial operational pressures. The U.S. general warehousing and storage market reached $42.8 billion in 2025, growing at 4.6% annually over the past five years.¹ Global market projections estimate the sector will reach $716 billion by 2033, driven by e-commerce expansion, supply chain optimization, and increased demand for specialized storage like cold chain facilities.² Labor availability remains the sector’s most persistent challenge. The warehousing industry faces a shortage of over 35,000 workers nationwide, with annual turnover rates exceeding 40% in many facilities.³ Labor costs now account for 55-70% of total warehouse operational budgets, and major operators have reported turnover rates exceeding 150% in some locations.⁴ Executives must implement automation technologies—from autonomous mobile robots to warehouse management systems—while managing workforce transitions and maintaining operational continuity.</t>
  </si>
  <si>
    <t>Labor shortages, automation adoption, safety compliance, and throughput pressures</t>
  </si>
  <si>
    <t>Persistent Labor Shortages and High Turnover
The warehousing industry faces a shortage of over 35,000 workers nationwide, with annual turnover rates exceeding 40% in many facilities—and some locations reporting rates over 150%.³ The separation rate was 3.6% in 2024, with hire rates at 4.1%, meaning you’re constantly replacing workers just to maintain staffing levels.⁶ Labor costs now account for 55-70% of operational budgets.⁴ This turnover disrupts operations, increases training costs, creates safety risks, and prevents efficiency gains. You’re stuck in a cycle where hiring barely keeps pace with departures, experienced workers leave just as they become proficient, and service quality varies by shift and location.</t>
  </si>
  <si>
    <t>Safety Compliance Under Intensified Scrutiny
OSHA’s National Emphasis Program has increased warehouse inspections, focusing on ergonomic hazards, equipment fit standards, heat illness, and injury reporting.⁸ The fatal injury rate for warehousing exceeds the national average, and OSHA issued nearly $6 million in penalties to major operators in 2023.⁹ Common hazards include forklift operations (approximately 100 deaths annually), loading dock falls (25% of injuries), and ergonomic issues.¹⁰ Compliance requires training, process controls, and documentation—not just posted signs. But implementing real safety improvements while maintaining productivity quotas and dealing with understaffing creates tension. Workers take shortcuts when facing pressure, and incidents continue despite training investments.</t>
  </si>
  <si>
    <t>Automation Implementation Without Disrupting Operations
By 2025, approximately 4.3 million commercial warehouse robots are expected to be installed worldwide, and automation spending is projected to reach $41 billion by 2027.⁷ But implementing automation while maintaining daily operations is difficult. Which processes get automated first? How do you train employees to work alongside robots? How do you redesign workflows to capture efficiency gains? Many warehouses install technology without achieving expected ROI because they haven’t addressed the human and process dimensions of change. The technology works technically, but if workflows aren’t redesigned and employees don’t adopt new systems, productivity gains never materialize.</t>
  </si>
  <si>
    <t>Throughput Pressures and Technology Integration
Warehouse operations must meet throughput demands from customers expecting same-day and next-day delivery while maintaining accuracy and controlling costs. But fragmented technology systems prevent operational visibility. Your WMS doesn’t integrate cleanly with TMS or order systems, creating manual workarounds, data errors, and fulfillment mistakes. Warehouse rent averages $10.10 per square foot nationally, with cold storage rents up 96% since 2019,¹¹,¹² so you need to maximize density, optimize pick paths, and position inventory efficiently while accommodating different storage requirements. Rising facility costs combined with labor expenses and throughput demands squeeze margins relentlessly.</t>
  </si>
  <si>
    <t>You can’t see the informal workflows that actually make operations run.
Org charts show supervisors and operators, but not which lead operators train new hires, which shipping clerk coordinates transportation best, or which maintenance tech everyone calls when equipment breaks. When you lose these people or restructure, operational knowledge disappears. The formal processes on paper don’t match how work actually gets done, and when key connectors leave, service quality drops and nobody knows why.</t>
  </si>
  <si>
    <t>“Safety incidents keep happening despite training.”
You conduct regular training sessions and post safety protocols throughout the facility, but incidents continue. The problem isn’t lack of rules—it’s that safety protocols don’t match workflow pressures. When facing productivity quotas and understaffing, workers take shortcuts. Loading dock procedures are slow, so workers skip steps. Ergonomic guidelines are impractical given current layouts. Until you address the process and pressure issues creating unsafe behaviors, training alone won’t reduce incidents.</t>
  </si>
  <si>
    <t>Workforce instability prevents consistency.
High turnover means constant training. You finally get someone trained and productive, and they leave. Experienced workers leave just as they become proficient. Quality and productivity vary dramatically by shift—the morning crew performs well, but the evening shift struggles. Knowledge walks out the door regularly, and you can’t build operational excellence when half your workforce turns over annually.</t>
  </si>
  <si>
    <t>“Automation projects didn’t deliver the ‘efficiency’ promised.”
The technology works—the robots move, the systems process data. But productivity hasn’t improved as projected. Employees use manual workarounds because workflows haven’t been redesigned to match automation capabilities. Training was insufficient and didn’t address their real concerns. Six months post-implementation, you’re not seeing the ROI you were promised, and leadership is questioning whether the investment was worth it.</t>
  </si>
  <si>
    <t>How Rooted Helps Leaders in the Logistics &amp; Transportation Industry
Map critical operational networks and knowledge holders to protect institutional knowledge and redesign coordination mechanisms. Drive adoption of automation and process changes through transparent communication, effective training, and employee engagement.</t>
  </si>
  <si>
    <t>Map informal networks that drive warehouse performance. Identify critical knowledge holders, reveal coordination breakdowns, and protect operational knowledge before changes.
Identify critical client relationship holders
Map dispatcher-carrier coordination networks
Reveal cross-functional communication gaps
Protect institutional knowledge before transitions</t>
  </si>
  <si>
    <t>Redesign warehouse workflows for efficiency and accuracy. Optimize receiving, improve fulfillment, streamline inventory, and fix cross-functional handoffs.
Client onboarding process standardization
Warehouse receiving and fulfillment optimization
Carrier coordination and load planning
Billing and invoicing accuracy improvement</t>
  </si>
  <si>
    <t>Drive automation and process adoption across shifts. Engage frontline leaders, deliver practical training, and manage transitions without disrupting operations.
WMS and TMS adoption strategies
Client communication during system transitions
Workflow redesign for technology capabilities
Employee and client training programs</t>
  </si>
  <si>
    <t>Build workforce stability and supervisor capability. Diagnose turnover causes, design retention strategies, develop frontline leaders, and create structures for growth.
Turnover root cause analysis and solutions
Career pathway development for frontline staff
Account management and operations scaling
Workforce planning for client growth</t>
  </si>
  <si>
    <t>High turnover disrupting warehouse operations and client service
A regional warehouse operator with 55% annual turnover struggled with constant hiring, training drain, and inconsistent productivity. Clients complained about fulfillment accuracy and service variability. We conducted a workforce diagnostic revealing turnover wasn’t primarily wage-driven—it was inflexible scheduling, limited career paths, and inconsistent management quality. Workers left because they couldn’t get schedule flexibility for family obligations, saw no path beyond entry-level roles, and had supervisors who provided little guidance or recognition. We designed retention strategies: flexible shift options, skill-based career advancement from associate to lead to supervisor, supervisor training in team management and coaching, and recognition programs for safety and performance. Nine months later, turnover dropped to 35%, fulfillment accuracy improved to 99.2%, client satisfaction scores increased, and operational consistency improved dramatically across shifts.</t>
  </si>
  <si>
    <t>Automation requiring workforce transition without disruption
A cold storage facility implementing automated storage and retrieval systems (AS/RS) needed to reduce manual picking roles by 40%. Leadership was concerned about maintaining service during the transition and managing workforce impacts. We designed a transition program: transparent communication about changes and timing, role transition pathways for displaced workers into equipment monitoring and maintenance positions, comprehensive training on new systems, and phased implementation that maintained service levels. Of 60 affected employees, 42 transitioned successfully to new roles, and 15 separated voluntarily with transition support. The AS/RS launched on schedule, workforce morale remained stable, and productivity improved 22% within six months while maintaining cold storage service commitments.</t>
  </si>
  <si>
    <t>WMS implementation not delivering productivity improvements
A distribution center’s $1.2M WMS investment showed flat picking productivity six months post-launch. The system worked technically, but employees weren’t using it effectively. Our assessment revealed that picking paths didn’t match actual storage layouts, screens required too many clicks for common tasks, and employees weren’t involved in workflow design so they found the system clunky and slower than their old methods. We redesigned picking workflows to match physical layouts, simplified interfaces by removing unnecessary steps, conducted targeted training focused on efficiency gains rather than system features, and implemented feedback loops so employees could suggest improvements. Four months later, picking productivity improved 18%, inventory accuracy reached 99.4%, and employee satisfaction with the system increased significantly.</t>
  </si>
  <si>
    <t>If you’re leading warehouse or storage operations and dealing with workforce instability, automation implementation challenges, safety compliance pressures, or operational inefficiency, Rooted can help. We’re not here to sell you a transformation roadmap that sits on a shelf. We’re here to understand your specific challenges and design solutions that work in real warehouse environments.</t>
  </si>
  <si>
    <t xml:space="preserve">https://bemorerooted.com/sectors/warehousing-storage/ </t>
  </si>
  <si>
    <t>lt_artwork_gemini-Large.jpeg</t>
  </si>
  <si>
    <t>https://bemorerooted.com/sectors/supply-chain-management-technology/</t>
  </si>
  <si>
    <t>LT-part3-36-Large.jpeg</t>
  </si>
  <si>
    <t>Digital Transformation Meets Operational Reality</t>
  </si>
  <si>
    <t>Organizational adoption is crucial for success in logistics platform development, TMS implementation, and supply chain technology rollouts.</t>
  </si>
  <si>
    <t>The supply chain management and technology sector sits at the intersection of operational necessity and digital innovation. Companies in this space—supply chain software providers, technology platforms, consulting firms, and technology-enabled service providers—promise to transform how goods move from source to customer. The opportunity is real: artificial intelligence, Internet of Things sensors, blockchain, cloud computing, and advanced analytics are genuinely reshaping supply chain capabilities. According to NetSuite’s 2025 supply chain trends research, while digital transformation remains a top priority, many supply chain technology investments have not yet achieved their strategic objectives.¹ Cloud computing adoption among supply chain organizations is projected to reach 82% in the next few years, establishing cloud as the standard platform.² At the same time, 80% of logistics firms are expected to have adopted AI solutions for real-time inventory visibility and decision-making by 2025.³ The technology is available and adoption is accelerating, but translating technology into measurable business outcomes remains difficult. For executives leading supply chain technology companies, implementation services firms, or internal supply chain transformation initiatives, the gap between what technology promises and what organizations actually achieve is where competitive advantage lives.</t>
  </si>
  <si>
    <t>Integration complexity, adoption barriers, and ROI pressure</t>
  </si>
  <si>
    <t>Legacy System Integration and Technical Debt
Most supply chain technology implementations don’t start with a blank slate. Companies operate on legacy warehouse management systems, transportation management platforms, and ERP systems—often decades old—that work but weren’t designed to integrate with modern cloud-based solutions. Data formats are inconsistent. API capabilities are limited. Real-time data exchange requires middleware layers that add complexity and cost. Supply chain technology providers promise seamless integration, but reality involves months of custom development, data mapping, and testing. When integration fails or delivers incomplete functionality, adoption suffers and promised ROI evaporates. Six months post-implementation, systems don’t talk to each other cleanly, manual workarounds persist, and the visibility promised in sales presentations hasn’t materialized.</t>
  </si>
  <si>
    <t>Data Quality and Governance
Supply chain analytics and AI depend on reliable, clean data. In practice, data quality is inconsistent. Inventory records have discrepancies. Supplier information is incomplete. Transaction data contains errors. Different systems define the same metrics differently (is “lead time” measured from PO creation or supplier confirmation?). Without rigorous data governance—standardized definitions, validation rules, quality monitoring, ownership accountability—technology investments deliver unreliable insights. Executives make decisions based on dashboards that look authoritative but contain questionable data. AI models trained on poor data produce poor recommendations. The technology is sophisticated, but garbage in means garbage out.</t>
  </si>
  <si>
    <t>User Adoption and Change Resistance
Technology works when people use it correctly. Supply chain operations involve warehouse workers, transportation planners, procurement specialists, and demand forecasters—each with established workflows and tools they trust. Introducing new platforms disrupts these workflows. If the new system is slower, less intuitive, or requires more steps than the old process, users find workarounds. Six months post-launch, you discover that adoption rates are 40% and people are maintaining parallel processes in spreadsheets. The technology has capabilities, but if users don’t adopt it, value isn’t realized. The sales team promised capabilities, implementation focused on technical deployment, but nobody designed the change management program that drives actual behavioral adoption.</t>
  </si>
  <si>
    <t>Demonstrating ROI and Scaling Client Success
Supply chain technology companies face pressure to demonstrate clear ROI quickly. Clients invest significant capital in platforms, implementations, and organizational change. If productivity gains, cost reductions, or service improvements don’t materialize within 12-18 months, renewal is at risk. For implementation services firms, scaling operations while maintaining quality is challenging. Your best consultants deliver excellent results, but hiring and developing new consultants fast enough to meet demand without sacrificing quality strains resources. Each implementation is treated as unique rather than following standardized approaches. New hires take 6-9 months to become productive. Client satisfaction varies by team. You need to scale delivery capability systematically while maintaining consistency and quality.</t>
  </si>
  <si>
    <t>Platform capabilities are strong, but client adoption rates disappoint.
Your technology works—the features exist, the system processes data correctly. But many clients use less than 50% of available capabilities. Customer satisfaction scores are mediocre, and churn exceeds targets. The problem isn’t the technology—it’s that clients don’t understand how to use it effectively in their workflows. Onboarding rushes through capabilities without connecting them to specific client operations. Post-launch support is reactive. Clients get overwhelmed and default to using only basic features while your sophisticated capabilities sit unused.</t>
  </si>
  <si>
    <t>Cross-functional coordination between product, implementation, and customer success breaks down under pressure.
Product teams build features without understanding implementation challenges. Implementation teams struggle to deliver capabilities that weren’t designed for real-world deployment. Customer success inherits clients who weren’t set up for success. Under normal conditions, coordination barely works. When problems arise—and they always do—finger-pointing starts instead of problem-solving. Informal networks keep things functioning, but when key connectors leave, coordination collapses.</t>
  </si>
  <si>
    <t>Data quality issues undermine platform value.
Your analytics platform is sophisticated, but the insights it generates are only as good as the data it receives. Clients complain that inventory forecasts are inaccurate or performance metrics don’t match their understanding. The problem isn’t your algorithms—it’s that source data is inconsistent, incomplete, or outdated. Without addressing data governance, your platform can’t deliver the value it’s capable of, and clients question whether the investment is worth it.</t>
  </si>
  <si>
    <t>Implementation timelines consistently run over schedule.
Sales teams promise 90-day implementations, but actual average is 6.5 months. Each delay creates client frustration, impacts revenue recognition, and strains implementation teams. Root causes aren’t clear—is it scope creep? Client data readiness? Technical integration complexity? Resource constraints? Without understanding why delays happen, you can’t fix the problem, and each overrun damages credibility with clients and erodes implementation margins.</t>
  </si>
  <si>
    <t>How Rooted Helps Leaders in the Logistics &amp; Transportation Industry
Supply chain technology success relies on understanding organizational dynamics, driving platform adoption, and streamlining implementation and support operations. Building implementation capability and scalable delivery models is crucial for sustainable growth.</t>
  </si>
  <si>
    <t>Map client and internal networks. Identify adoption influencers, understand workflow integration, reveal coordination gaps, and improve collaboration.
Identify critical client relationship holders
Map dispatcher-carrier coordination networks
Reveal cross-functional communication gaps
Protect institutional knowledge before transitions</t>
  </si>
  <si>
    <t>Redesign implementation and support workflows. Streamline delivery, improve escalation, establish data governance, and optimize cross-functional collaboration.
Client onboarding process standardization
Warehouse receiving and fulfillment optimization
Carrier coordination and load planning
Billing and invoicing accuracy improvement</t>
  </si>
  <si>
    <t>Drive platform adoption across users and clients. Design role-based training, segment rollout strategies, and manage transitions without disruption.
WMS and TMS adoption strategies
Client communication during system transitions
Workflow redesign for technology capabilities
Employee and client training programs</t>
  </si>
  <si>
    <t>Build scalable implementation capability. Develop consultant skills, design delivery playbooks, improve talent strategies, and strengthen cross-functional collaboration.
Turnover root cause analysis and solutions
Career pathway development for frontline staff
Account management and operations scaling
Workforce planning for client growth</t>
  </si>
  <si>
    <t>Visibility platform with strong capabilities but disappointing adoption  
A supply chain tech company redesigned its onboarding process for a cloud-based visibility platform, leading to a 26% increase in feature adoption, improved customer satisfaction, and a 35% reduction in churn.</t>
  </si>
  <si>
    <t>Scaling implementation team without sacrificing quality  
A supply chain software company scaled its implementation team by creating role levels, a structured onboarding program, and standardized playbooks. This resulted in a 50% team growth, reduced time-to-productivity, improved client satisfaction, and decreased turnover.</t>
  </si>
  <si>
    <t>Implementation timelines consistently running over schedule
A supply chain technology services firm faced implementation delays, impacting client satisfaction and revenue. Analysis revealed predictable delays due to data readiness, scope creep, and integration complexity. Process redesign, including data readiness assessments, scope management, integration complexity scoring, and capacity planning, reduced average implementation time from 6.5 to 4.2 months.</t>
  </si>
  <si>
    <t>If you’re leading a supply chain technology company, implementation services firm, or digital supply chain transformation initiative and dealing with user adoption challenges, implementation delays, cross-functional dysfunction, scaling difficulties, or pressure to demonstrate ROI, Rooted can help. We’re not here to sell you a transformation roadmap that sits on a shelf. We’re here to understand your specific challenges and design solutions that work for your organization.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</si>
</sst>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9"/>
      <color theme="1"/>
      <name val="Arial"/>
      <family val="2"/>
      <scheme val="minor"/>
    </font>
    <font>
      <sz val="9"/>
      <color theme="1"/>
      <name val="Arial"/>
      <family val="2"/>
      <scheme val="minor"/>
    </font>
    <font>
      <u/>
      <sz val="9"/>
      <color rgb="FF0000FF"/>
      <name val="Arial"/>
      <family val="2"/>
    </font>
    <font>
      <sz val="9"/>
      <color theme="1"/>
      <name val="Aptos Narrow"/>
    </font>
    <font>
      <sz val="9"/>
      <color theme="1"/>
      <name val="Arial"/>
      <family val="2"/>
    </font>
    <font>
      <b/>
      <sz val="9"/>
      <color rgb="FF000000"/>
      <name val="&quot;Aptos Narrow&quot;"/>
    </font>
    <font>
      <b/>
      <sz val="9"/>
      <color rgb="FF000000"/>
      <name val="Arial"/>
      <family val="2"/>
    </font>
    <font>
      <u/>
      <sz val="10"/>
      <color theme="10"/>
      <name val="Arial"/>
      <family val="2"/>
      <scheme val="minor"/>
    </font>
  </fonts>
  <fills count="4">
    <fill>
      <patternFill patternType="none"/>
    </fill>
    <fill>
      <patternFill patternType="gray125"/>
    </fill>
    <fill>
      <patternFill patternType="solid">
        <fgColor rgb="FFF3F3F3"/>
        <bgColor rgb="FFF3F3F3"/>
      </patternFill>
    </fill>
    <fill>
      <patternFill patternType="solid">
        <fgColor rgb="FFFCE8B2"/>
        <bgColor rgb="FFFCE8B2"/>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5">
    <xf numFmtId="0" fontId="0" fillId="0" borderId="0" xfId="0"/>
    <xf numFmtId="0" fontId="2" fillId="0" borderId="0" xfId="0" applyFont="1" applyAlignment="1">
      <alignment vertical="center" wrapText="1"/>
    </xf>
    <xf numFmtId="0" fontId="2" fillId="3" borderId="0" xfId="0" applyFont="1" applyFill="1" applyAlignment="1">
      <alignment vertical="center" wrapText="1"/>
    </xf>
    <xf numFmtId="0" fontId="0" fillId="0" borderId="0" xfId="0" applyAlignment="1">
      <alignment wrapText="1"/>
    </xf>
    <xf numFmtId="0" fontId="1" fillId="0" borderId="0" xfId="0" applyFont="1" applyAlignment="1">
      <alignment vertical="top" wrapText="1"/>
    </xf>
    <xf numFmtId="0" fontId="2" fillId="0" borderId="0" xfId="0" applyFont="1" applyAlignment="1">
      <alignment vertical="top" wrapText="1"/>
    </xf>
    <xf numFmtId="0" fontId="2" fillId="2" borderId="0" xfId="0" applyFont="1" applyFill="1" applyAlignment="1">
      <alignment vertical="top" wrapText="1"/>
    </xf>
    <xf numFmtId="0" fontId="3" fillId="0" borderId="0" xfId="0" applyFont="1" applyAlignment="1">
      <alignment vertical="top" wrapText="1"/>
    </xf>
    <xf numFmtId="0" fontId="4" fillId="2" borderId="0" xfId="0" applyFont="1" applyFill="1" applyAlignment="1">
      <alignment vertical="top" wrapText="1"/>
    </xf>
    <xf numFmtId="0" fontId="5" fillId="2" borderId="0" xfId="0" applyFont="1" applyFill="1" applyAlignment="1">
      <alignment vertical="top" wrapText="1"/>
    </xf>
    <xf numFmtId="0" fontId="8" fillId="0" borderId="0" xfId="1" applyAlignment="1">
      <alignment vertical="top" wrapText="1"/>
    </xf>
    <xf numFmtId="0" fontId="6" fillId="3" borderId="0" xfId="0" applyFont="1" applyFill="1" applyAlignment="1">
      <alignment horizontal="left" vertical="top" wrapText="1"/>
    </xf>
    <xf numFmtId="0" fontId="2" fillId="3" borderId="0" xfId="0" applyFont="1" applyFill="1" applyAlignment="1">
      <alignment vertical="top" wrapText="1"/>
    </xf>
    <xf numFmtId="0" fontId="6" fillId="0" borderId="0" xfId="0" applyFont="1" applyAlignment="1">
      <alignment horizontal="left" vertical="top" wrapText="1"/>
    </xf>
    <xf numFmtId="0" fontId="7" fillId="0" borderId="0" xfId="0" applyFont="1" applyAlignment="1">
      <alignment horizontal="left" vertical="top" wrapText="1"/>
    </xf>
  </cellXfs>
  <cellStyles count="2">
    <cellStyle name="Hyperlink" xfId="1" builtinId="8"/>
    <cellStyle name="Normal" xfId="0" builtinId="0"/>
  </cellStyles>
  <dxfs count="4">
    <dxf>
      <font>
        <color theme="1"/>
      </font>
      <fill>
        <patternFill patternType="solid">
          <fgColor rgb="FFCCCCCC"/>
          <bgColor rgb="FFCCCCCC"/>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bemorerooted.com/sectors/transportation/" TargetMode="External"/><Relationship Id="rId2" Type="http://schemas.openxmlformats.org/officeDocument/2006/relationships/hyperlink" Target="https://bemorerooted.com/sectors/4pl-end-to-end-logistics/" TargetMode="External"/><Relationship Id="rId1" Type="http://schemas.openxmlformats.org/officeDocument/2006/relationships/hyperlink" Target="https://bemorerooted.com/sectors/3pl-freight-forwarding/" TargetMode="External"/><Relationship Id="rId5" Type="http://schemas.openxmlformats.org/officeDocument/2006/relationships/hyperlink" Target="https://bemorerooted.com/sectors/supply-chain-management-technology/" TargetMode="External"/><Relationship Id="rId4" Type="http://schemas.openxmlformats.org/officeDocument/2006/relationships/hyperlink" Target="https://bemorerooted.com/sectors/warehousing-stor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41"/>
  <sheetViews>
    <sheetView tabSelected="1" workbookViewId="0">
      <pane xSplit="1" topLeftCell="B1" activePane="topRight" state="frozen"/>
      <selection pane="topRight" activeCell="B2" sqref="B2"/>
    </sheetView>
  </sheetViews>
  <sheetFormatPr baseColWidth="10" defaultColWidth="12.6640625" defaultRowHeight="15.75" customHeight="1"/>
  <cols>
    <col min="1" max="1" width="32.5" style="3" customWidth="1"/>
    <col min="2" max="2" width="63.5" style="3" bestFit="1" customWidth="1"/>
    <col min="3" max="3" width="25" style="3" customWidth="1"/>
    <col min="4" max="4" width="19.1640625" style="3" customWidth="1"/>
    <col min="5" max="5" width="27.83203125" style="3" customWidth="1"/>
    <col min="6" max="6" width="19.1640625" style="3" customWidth="1"/>
    <col min="7" max="7" width="42.5" style="3" customWidth="1"/>
    <col min="8" max="9" width="27.5" style="3" customWidth="1"/>
    <col min="10" max="10" width="50.1640625" style="3" customWidth="1"/>
    <col min="11" max="11" width="12.6640625" style="3"/>
    <col min="12" max="33" width="43.83203125" style="3" customWidth="1"/>
    <col min="34" max="16384" width="12.6640625" style="3"/>
  </cols>
  <sheetData>
    <row r="1" spans="1:35" ht="39">
      <c r="A1" s="4" t="s">
        <v>0</v>
      </c>
      <c r="B1" s="5" t="s">
        <v>1</v>
      </c>
      <c r="C1" s="5" t="s">
        <v>2</v>
      </c>
      <c r="D1" s="5" t="s">
        <v>3</v>
      </c>
      <c r="E1" s="5" t="s">
        <v>4</v>
      </c>
      <c r="F1" s="5" t="s">
        <v>5</v>
      </c>
      <c r="G1" s="5" t="s">
        <v>6</v>
      </c>
      <c r="H1" s="6" t="s">
        <v>7</v>
      </c>
      <c r="I1" s="6" t="s">
        <v>133</v>
      </c>
      <c r="J1" s="6" t="s">
        <v>8</v>
      </c>
      <c r="K1" s="6" t="s">
        <v>9</v>
      </c>
      <c r="L1" s="6" t="s">
        <v>10</v>
      </c>
      <c r="M1" s="6" t="s">
        <v>11</v>
      </c>
      <c r="N1" s="6" t="s">
        <v>12</v>
      </c>
      <c r="O1" s="6" t="s">
        <v>13</v>
      </c>
      <c r="P1" s="6" t="s">
        <v>111</v>
      </c>
      <c r="Q1" s="6" t="s">
        <v>14</v>
      </c>
      <c r="R1" s="6" t="s">
        <v>15</v>
      </c>
      <c r="S1" s="6" t="s">
        <v>16</v>
      </c>
      <c r="T1" s="6" t="s">
        <v>17</v>
      </c>
      <c r="U1" s="6" t="s">
        <v>18</v>
      </c>
      <c r="V1" s="6" t="s">
        <v>19</v>
      </c>
      <c r="W1" s="6" t="s">
        <v>21</v>
      </c>
      <c r="X1" s="6" t="s">
        <v>20</v>
      </c>
      <c r="Y1" s="6" t="s">
        <v>22</v>
      </c>
      <c r="Z1" s="6" t="s">
        <v>23</v>
      </c>
      <c r="AA1" s="6" t="s">
        <v>122</v>
      </c>
      <c r="AB1" s="6" t="s">
        <v>24</v>
      </c>
      <c r="AC1" s="6" t="s">
        <v>25</v>
      </c>
      <c r="AD1" s="6" t="s">
        <v>26</v>
      </c>
      <c r="AE1" s="6" t="s">
        <v>128</v>
      </c>
      <c r="AF1" s="6" t="s">
        <v>27</v>
      </c>
      <c r="AG1" s="5" t="s">
        <v>28</v>
      </c>
      <c r="AH1" s="1"/>
      <c r="AI1" s="1"/>
    </row>
    <row r="2" spans="1:35" ht="195">
      <c r="A2" s="4" t="s">
        <v>29</v>
      </c>
      <c r="B2" s="5" t="str">
        <f t="shared" ref="B2:B40" si="0">CONCATENATE("Home &gt; Sectors &gt; ", C2, " &gt; ", A2)</f>
        <v>Home &gt; Sectors &gt; Logistics &amp; Transportation &gt; 3PL &amp; Freight Forwarding</v>
      </c>
      <c r="C2" s="5" t="s">
        <v>30</v>
      </c>
      <c r="D2" s="5" t="s">
        <v>31</v>
      </c>
      <c r="E2" s="5" t="s">
        <v>132</v>
      </c>
      <c r="F2" s="5" t="s">
        <v>32</v>
      </c>
      <c r="G2" s="7" t="s">
        <v>33</v>
      </c>
      <c r="H2" s="6" t="s">
        <v>34</v>
      </c>
      <c r="I2" s="6" t="s">
        <v>134</v>
      </c>
      <c r="J2" s="6" t="s">
        <v>35</v>
      </c>
      <c r="K2" s="6" t="s">
        <v>36</v>
      </c>
      <c r="L2" s="6" t="s">
        <v>37</v>
      </c>
      <c r="M2" s="6" t="s">
        <v>38</v>
      </c>
      <c r="N2" s="6" t="s">
        <v>39</v>
      </c>
      <c r="O2" s="6" t="s">
        <v>40</v>
      </c>
      <c r="P2" s="6" t="s">
        <v>112</v>
      </c>
      <c r="Q2" s="6" t="s">
        <v>41</v>
      </c>
      <c r="R2" s="8" t="s">
        <v>42</v>
      </c>
      <c r="S2" s="9" t="s">
        <v>43</v>
      </c>
      <c r="T2" s="8" t="s">
        <v>44</v>
      </c>
      <c r="U2" s="8" t="s">
        <v>45</v>
      </c>
      <c r="V2" s="8" t="s">
        <v>46</v>
      </c>
      <c r="W2" s="9" t="s">
        <v>48</v>
      </c>
      <c r="X2" s="8" t="s">
        <v>47</v>
      </c>
      <c r="Y2" s="8" t="s">
        <v>49</v>
      </c>
      <c r="Z2" s="6"/>
      <c r="AA2" s="6" t="s">
        <v>124</v>
      </c>
      <c r="AB2" s="9" t="s">
        <v>50</v>
      </c>
      <c r="AC2" s="9" t="s">
        <v>51</v>
      </c>
      <c r="AD2" s="9" t="s">
        <v>52</v>
      </c>
      <c r="AE2" s="6" t="s">
        <v>129</v>
      </c>
      <c r="AF2" s="8" t="s">
        <v>53</v>
      </c>
      <c r="AG2" s="5" t="s">
        <v>54</v>
      </c>
      <c r="AH2" s="1"/>
      <c r="AI2" s="1"/>
    </row>
    <row r="3" spans="1:35" ht="182">
      <c r="A3" s="4" t="s">
        <v>55</v>
      </c>
      <c r="B3" s="5" t="str">
        <f t="shared" si="0"/>
        <v>Home &gt; Sectors &gt; Logistics &amp; Transportation &gt; 4PL &amp; End-to-End Logistics</v>
      </c>
      <c r="C3" s="5" t="s">
        <v>30</v>
      </c>
      <c r="D3" s="5" t="s">
        <v>31</v>
      </c>
      <c r="E3" s="5" t="s">
        <v>101</v>
      </c>
      <c r="F3" s="5" t="s">
        <v>131</v>
      </c>
      <c r="G3" s="10" t="s">
        <v>100</v>
      </c>
      <c r="H3" s="6" t="s">
        <v>103</v>
      </c>
      <c r="I3" s="6" t="s">
        <v>102</v>
      </c>
      <c r="J3" s="6" t="s">
        <v>104</v>
      </c>
      <c r="K3" s="6" t="s">
        <v>105</v>
      </c>
      <c r="L3" s="6" t="s">
        <v>107</v>
      </c>
      <c r="M3" s="6" t="s">
        <v>109</v>
      </c>
      <c r="N3" s="6" t="s">
        <v>108</v>
      </c>
      <c r="O3" s="6" t="s">
        <v>106</v>
      </c>
      <c r="P3" s="6" t="s">
        <v>110</v>
      </c>
      <c r="Q3" s="6" t="s">
        <v>113</v>
      </c>
      <c r="R3" s="6" t="s">
        <v>114</v>
      </c>
      <c r="S3" s="6" t="s">
        <v>115</v>
      </c>
      <c r="T3" s="6" t="s">
        <v>116</v>
      </c>
      <c r="U3" s="6" t="s">
        <v>117</v>
      </c>
      <c r="V3" s="6" t="s">
        <v>118</v>
      </c>
      <c r="W3" s="6" t="s">
        <v>119</v>
      </c>
      <c r="X3" s="6" t="s">
        <v>120</v>
      </c>
      <c r="Y3" s="6" t="s">
        <v>121</v>
      </c>
      <c r="Z3" s="6"/>
      <c r="AA3" s="6" t="s">
        <v>123</v>
      </c>
      <c r="AB3" s="6" t="s">
        <v>125</v>
      </c>
      <c r="AC3" s="6" t="s">
        <v>126</v>
      </c>
      <c r="AD3" s="6" t="s">
        <v>127</v>
      </c>
      <c r="AE3" s="6" t="s">
        <v>129</v>
      </c>
      <c r="AF3" s="6" t="s">
        <v>130</v>
      </c>
      <c r="AG3" s="5"/>
      <c r="AH3" s="1"/>
      <c r="AI3" s="1"/>
    </row>
    <row r="4" spans="1:35" ht="260">
      <c r="A4" s="4" t="s">
        <v>56</v>
      </c>
      <c r="B4" s="5" t="str">
        <f t="shared" si="0"/>
        <v>Home &gt; Sectors &gt; Logistics &amp; Transportation &gt; Transportation</v>
      </c>
      <c r="C4" s="5" t="s">
        <v>30</v>
      </c>
      <c r="D4" s="5" t="s">
        <v>31</v>
      </c>
      <c r="E4" s="5" t="s">
        <v>136</v>
      </c>
      <c r="F4" s="5" t="s">
        <v>139</v>
      </c>
      <c r="G4" s="10" t="s">
        <v>135</v>
      </c>
      <c r="H4" s="6" t="s">
        <v>140</v>
      </c>
      <c r="I4" s="6" t="s">
        <v>141</v>
      </c>
      <c r="J4" s="6" t="s">
        <v>142</v>
      </c>
      <c r="K4" s="6" t="s">
        <v>143</v>
      </c>
      <c r="L4" s="6" t="s">
        <v>144</v>
      </c>
      <c r="M4" s="6" t="s">
        <v>145</v>
      </c>
      <c r="N4" s="6" t="s">
        <v>146</v>
      </c>
      <c r="O4" s="6" t="s">
        <v>147</v>
      </c>
      <c r="P4" s="6" t="s">
        <v>148</v>
      </c>
      <c r="Q4" s="6" t="s">
        <v>149</v>
      </c>
      <c r="R4" s="6" t="s">
        <v>150</v>
      </c>
      <c r="S4" s="6" t="s">
        <v>151</v>
      </c>
      <c r="T4" s="6" t="s">
        <v>152</v>
      </c>
      <c r="U4" s="6" t="s">
        <v>153</v>
      </c>
      <c r="V4" s="6" t="s">
        <v>154</v>
      </c>
      <c r="W4" s="6" t="s">
        <v>156</v>
      </c>
      <c r="X4" s="6" t="s">
        <v>155</v>
      </c>
      <c r="Y4" s="6" t="s">
        <v>157</v>
      </c>
      <c r="Z4" s="6"/>
      <c r="AA4" s="6" t="s">
        <v>158</v>
      </c>
      <c r="AB4" s="6" t="s">
        <v>159</v>
      </c>
      <c r="AC4" s="6" t="s">
        <v>160</v>
      </c>
      <c r="AD4" s="6" t="s">
        <v>161</v>
      </c>
      <c r="AE4" s="6" t="s">
        <v>129</v>
      </c>
      <c r="AF4" s="6" t="s">
        <v>162</v>
      </c>
      <c r="AG4" s="5"/>
      <c r="AH4" s="1"/>
      <c r="AI4" s="1"/>
    </row>
    <row r="5" spans="1:35" ht="260">
      <c r="A5" s="4" t="s">
        <v>57</v>
      </c>
      <c r="B5" s="5" t="str">
        <f t="shared" si="0"/>
        <v>Home &gt; Sectors &gt; Logistics &amp; Transportation &gt; Warehousing &amp; Storage</v>
      </c>
      <c r="C5" s="5" t="s">
        <v>30</v>
      </c>
      <c r="D5" s="5" t="s">
        <v>31</v>
      </c>
      <c r="E5" s="5" t="s">
        <v>137</v>
      </c>
      <c r="F5" s="5" t="s">
        <v>185</v>
      </c>
      <c r="G5" s="10" t="s">
        <v>184</v>
      </c>
      <c r="H5" s="6" t="s">
        <v>163</v>
      </c>
      <c r="I5" s="6" t="s">
        <v>164</v>
      </c>
      <c r="J5" s="6" t="s">
        <v>165</v>
      </c>
      <c r="K5" s="6" t="s">
        <v>166</v>
      </c>
      <c r="L5" s="6" t="s">
        <v>167</v>
      </c>
      <c r="M5" s="6" t="s">
        <v>168</v>
      </c>
      <c r="N5" s="6" t="s">
        <v>169</v>
      </c>
      <c r="O5" s="6" t="s">
        <v>170</v>
      </c>
      <c r="P5" s="6" t="s">
        <v>148</v>
      </c>
      <c r="Q5" s="6" t="s">
        <v>171</v>
      </c>
      <c r="R5" s="6" t="s">
        <v>172</v>
      </c>
      <c r="S5" s="6" t="s">
        <v>173</v>
      </c>
      <c r="T5" s="6" t="s">
        <v>174</v>
      </c>
      <c r="U5" s="6" t="s">
        <v>175</v>
      </c>
      <c r="V5" s="6" t="s">
        <v>176</v>
      </c>
      <c r="W5" s="6" t="s">
        <v>177</v>
      </c>
      <c r="X5" s="6" t="s">
        <v>178</v>
      </c>
      <c r="Y5" s="6" t="s">
        <v>179</v>
      </c>
      <c r="Z5" s="6"/>
      <c r="AA5" s="6" t="s">
        <v>158</v>
      </c>
      <c r="AB5" s="6" t="s">
        <v>180</v>
      </c>
      <c r="AC5" s="6" t="s">
        <v>181</v>
      </c>
      <c r="AD5" s="6" t="s">
        <v>182</v>
      </c>
      <c r="AE5" s="6" t="s">
        <v>129</v>
      </c>
      <c r="AF5" s="6" t="s">
        <v>183</v>
      </c>
      <c r="AG5" s="5"/>
      <c r="AH5" s="1"/>
      <c r="AI5" s="1"/>
    </row>
    <row r="6" spans="1:35" ht="284">
      <c r="A6" s="4" t="s">
        <v>58</v>
      </c>
      <c r="B6" s="5" t="str">
        <f t="shared" si="0"/>
        <v>Home &gt; Sectors &gt; Logistics &amp; Transportation &gt; Supply Chain Management &amp; Technology</v>
      </c>
      <c r="C6" s="5" t="s">
        <v>30</v>
      </c>
      <c r="D6" s="5" t="s">
        <v>31</v>
      </c>
      <c r="E6" s="5" t="s">
        <v>138</v>
      </c>
      <c r="F6" s="5" t="s">
        <v>187</v>
      </c>
      <c r="G6" s="10" t="s">
        <v>186</v>
      </c>
      <c r="H6" s="6" t="s">
        <v>188</v>
      </c>
      <c r="I6" s="6" t="s">
        <v>189</v>
      </c>
      <c r="J6" s="6" t="s">
        <v>190</v>
      </c>
      <c r="K6" s="6" t="s">
        <v>191</v>
      </c>
      <c r="L6" s="6" t="s">
        <v>192</v>
      </c>
      <c r="M6" s="6" t="s">
        <v>193</v>
      </c>
      <c r="N6" s="6" t="s">
        <v>194</v>
      </c>
      <c r="O6" s="6" t="s">
        <v>195</v>
      </c>
      <c r="P6" s="6" t="s">
        <v>148</v>
      </c>
      <c r="Q6" s="6" t="s">
        <v>196</v>
      </c>
      <c r="R6" s="6" t="s">
        <v>197</v>
      </c>
      <c r="S6" s="6" t="s">
        <v>198</v>
      </c>
      <c r="T6" s="6" t="s">
        <v>199</v>
      </c>
      <c r="U6" s="6" t="s">
        <v>200</v>
      </c>
      <c r="V6" s="6" t="s">
        <v>201</v>
      </c>
      <c r="W6" s="6" t="s">
        <v>202</v>
      </c>
      <c r="X6" s="6" t="s">
        <v>203</v>
      </c>
      <c r="Y6" s="6" t="s">
        <v>204</v>
      </c>
      <c r="Z6" s="6"/>
      <c r="AA6" s="6" t="s">
        <v>158</v>
      </c>
      <c r="AB6" s="6" t="s">
        <v>205</v>
      </c>
      <c r="AC6" s="6" t="s">
        <v>206</v>
      </c>
      <c r="AD6" s="6" t="s">
        <v>207</v>
      </c>
      <c r="AE6" s="6" t="s">
        <v>129</v>
      </c>
      <c r="AF6" s="6" t="s">
        <v>208</v>
      </c>
      <c r="AG6" s="5"/>
      <c r="AH6" s="1"/>
      <c r="AI6" s="1"/>
    </row>
    <row r="7" spans="1:35" ht="13">
      <c r="A7" s="11" t="s">
        <v>59</v>
      </c>
      <c r="B7" s="12" t="str">
        <f t="shared" si="0"/>
        <v>Home &gt; Sectors &gt; Manufacturing &gt; Consumer Goods Manufacturing</v>
      </c>
      <c r="C7" s="12" t="s">
        <v>60</v>
      </c>
      <c r="D7" s="12" t="s">
        <v>61</v>
      </c>
      <c r="E7" s="12"/>
      <c r="F7" s="12"/>
      <c r="G7" s="12"/>
      <c r="H7" s="12"/>
      <c r="I7" s="12"/>
      <c r="J7" s="12"/>
      <c r="K7" s="12"/>
      <c r="L7" s="12"/>
      <c r="M7" s="12"/>
      <c r="N7" s="12"/>
      <c r="O7" s="12"/>
      <c r="P7" s="12"/>
      <c r="Q7" s="12"/>
      <c r="R7" s="12"/>
      <c r="S7" s="12"/>
      <c r="T7" s="12"/>
      <c r="U7" s="12"/>
      <c r="V7" s="12"/>
      <c r="W7" s="12"/>
      <c r="X7" s="12"/>
      <c r="Y7" s="12"/>
      <c r="Z7" s="12"/>
      <c r="AA7" s="12"/>
      <c r="AB7" s="12"/>
      <c r="AC7" s="12"/>
      <c r="AD7" s="12"/>
      <c r="AE7" s="6" t="s">
        <v>129</v>
      </c>
      <c r="AF7" s="12"/>
      <c r="AG7" s="12"/>
      <c r="AH7" s="2"/>
      <c r="AI7" s="2"/>
    </row>
    <row r="8" spans="1:35" ht="13">
      <c r="A8" s="13" t="s">
        <v>62</v>
      </c>
      <c r="B8" s="5" t="str">
        <f t="shared" si="0"/>
        <v>Home &gt; Sectors &gt; Manufacturing &gt; Materials &amp; Chemical Manufacturing</v>
      </c>
      <c r="C8" s="5" t="s">
        <v>60</v>
      </c>
      <c r="D8" s="5" t="s">
        <v>63</v>
      </c>
      <c r="E8" s="5"/>
      <c r="F8" s="5"/>
      <c r="G8" s="5"/>
      <c r="H8" s="6"/>
      <c r="I8" s="6"/>
      <c r="J8" s="6"/>
      <c r="K8" s="6"/>
      <c r="L8" s="6"/>
      <c r="M8" s="6"/>
      <c r="N8" s="6"/>
      <c r="O8" s="6"/>
      <c r="P8" s="6"/>
      <c r="Q8" s="6"/>
      <c r="R8" s="6"/>
      <c r="S8" s="6"/>
      <c r="T8" s="6"/>
      <c r="U8" s="6"/>
      <c r="V8" s="6"/>
      <c r="W8" s="6"/>
      <c r="X8" s="6"/>
      <c r="Y8" s="6"/>
      <c r="Z8" s="6"/>
      <c r="AA8" s="6"/>
      <c r="AB8" s="6"/>
      <c r="AC8" s="6"/>
      <c r="AD8" s="6"/>
      <c r="AE8" s="6" t="s">
        <v>129</v>
      </c>
      <c r="AF8" s="6"/>
      <c r="AG8" s="5"/>
      <c r="AH8" s="1"/>
      <c r="AI8" s="1"/>
    </row>
    <row r="9" spans="1:35" ht="13">
      <c r="A9" s="13" t="s">
        <v>64</v>
      </c>
      <c r="B9" s="5" t="str">
        <f t="shared" si="0"/>
        <v>Home &gt; Sectors &gt; Manufacturing &gt; Industrial &amp; Equipment Manufacturing</v>
      </c>
      <c r="C9" s="5" t="s">
        <v>60</v>
      </c>
      <c r="D9" s="5" t="s">
        <v>63</v>
      </c>
      <c r="E9" s="5"/>
      <c r="F9" s="5"/>
      <c r="G9" s="5"/>
      <c r="H9" s="6"/>
      <c r="I9" s="6"/>
      <c r="J9" s="6"/>
      <c r="K9" s="6"/>
      <c r="L9" s="6"/>
      <c r="M9" s="6"/>
      <c r="N9" s="6"/>
      <c r="O9" s="6"/>
      <c r="P9" s="6"/>
      <c r="Q9" s="6"/>
      <c r="R9" s="6"/>
      <c r="S9" s="6"/>
      <c r="T9" s="6"/>
      <c r="U9" s="6"/>
      <c r="V9" s="6"/>
      <c r="W9" s="6"/>
      <c r="X9" s="6"/>
      <c r="Y9" s="6"/>
      <c r="Z9" s="6"/>
      <c r="AA9" s="6"/>
      <c r="AB9" s="6"/>
      <c r="AC9" s="6"/>
      <c r="AD9" s="6"/>
      <c r="AE9" s="6" t="s">
        <v>129</v>
      </c>
      <c r="AF9" s="6"/>
      <c r="AG9" s="5"/>
      <c r="AH9" s="1"/>
      <c r="AI9" s="1"/>
    </row>
    <row r="10" spans="1:35" ht="26">
      <c r="A10" s="13" t="s">
        <v>65</v>
      </c>
      <c r="B10" s="5" t="str">
        <f t="shared" si="0"/>
        <v>Home &gt; Sectors &gt; Manufacturing &gt; Technology &amp; Transportation Manufacturing</v>
      </c>
      <c r="C10" s="5" t="s">
        <v>60</v>
      </c>
      <c r="D10" s="5" t="s">
        <v>63</v>
      </c>
      <c r="E10" s="5"/>
      <c r="F10" s="5"/>
      <c r="G10" s="5"/>
      <c r="H10" s="6"/>
      <c r="I10" s="6"/>
      <c r="J10" s="6"/>
      <c r="K10" s="6"/>
      <c r="L10" s="6"/>
      <c r="M10" s="6"/>
      <c r="N10" s="6"/>
      <c r="O10" s="6"/>
      <c r="P10" s="6"/>
      <c r="Q10" s="6"/>
      <c r="R10" s="6"/>
      <c r="S10" s="6"/>
      <c r="T10" s="6"/>
      <c r="U10" s="6"/>
      <c r="V10" s="6"/>
      <c r="W10" s="6"/>
      <c r="X10" s="6"/>
      <c r="Y10" s="6"/>
      <c r="Z10" s="6"/>
      <c r="AA10" s="6"/>
      <c r="AB10" s="6"/>
      <c r="AC10" s="6"/>
      <c r="AD10" s="6"/>
      <c r="AE10" s="6" t="s">
        <v>129</v>
      </c>
      <c r="AF10" s="6"/>
      <c r="AG10" s="5"/>
      <c r="AH10" s="1"/>
      <c r="AI10" s="1"/>
    </row>
    <row r="11" spans="1:35" ht="13">
      <c r="A11" s="13" t="s">
        <v>66</v>
      </c>
      <c r="B11" s="5" t="str">
        <f t="shared" si="0"/>
        <v>Home &gt; Sectors &gt; Manufacturing &gt; Manufacturing Plants</v>
      </c>
      <c r="C11" s="5" t="s">
        <v>60</v>
      </c>
      <c r="D11" s="5" t="s">
        <v>63</v>
      </c>
      <c r="E11" s="5"/>
      <c r="F11" s="5"/>
      <c r="G11" s="5"/>
      <c r="H11" s="6"/>
      <c r="I11" s="6"/>
      <c r="J11" s="6"/>
      <c r="K11" s="6"/>
      <c r="L11" s="6"/>
      <c r="M11" s="6"/>
      <c r="N11" s="6"/>
      <c r="O11" s="6"/>
      <c r="P11" s="6"/>
      <c r="Q11" s="6"/>
      <c r="R11" s="6"/>
      <c r="S11" s="6"/>
      <c r="T11" s="6"/>
      <c r="U11" s="6"/>
      <c r="V11" s="6"/>
      <c r="W11" s="6"/>
      <c r="X11" s="6"/>
      <c r="Y11" s="6"/>
      <c r="Z11" s="6"/>
      <c r="AA11" s="6"/>
      <c r="AB11" s="6"/>
      <c r="AC11" s="6"/>
      <c r="AD11" s="6"/>
      <c r="AE11" s="6" t="s">
        <v>129</v>
      </c>
      <c r="AF11" s="6"/>
      <c r="AG11" s="5"/>
      <c r="AH11" s="1"/>
      <c r="AI11" s="1"/>
    </row>
    <row r="12" spans="1:35" ht="13">
      <c r="A12" s="13" t="s">
        <v>67</v>
      </c>
      <c r="B12" s="5" t="str">
        <f t="shared" si="0"/>
        <v>Home &gt; Sectors &gt; Technology &gt; Hardware</v>
      </c>
      <c r="C12" s="5" t="s">
        <v>68</v>
      </c>
      <c r="D12" s="5" t="s">
        <v>63</v>
      </c>
      <c r="E12" s="5"/>
      <c r="F12" s="5"/>
      <c r="G12" s="5"/>
      <c r="H12" s="6"/>
      <c r="I12" s="6"/>
      <c r="J12" s="6"/>
      <c r="K12" s="6"/>
      <c r="L12" s="6"/>
      <c r="M12" s="6"/>
      <c r="N12" s="6"/>
      <c r="O12" s="6"/>
      <c r="P12" s="6"/>
      <c r="Q12" s="6"/>
      <c r="R12" s="6"/>
      <c r="S12" s="6"/>
      <c r="T12" s="6"/>
      <c r="U12" s="6"/>
      <c r="V12" s="6"/>
      <c r="W12" s="6"/>
      <c r="X12" s="6"/>
      <c r="Y12" s="6"/>
      <c r="Z12" s="6"/>
      <c r="AA12" s="6"/>
      <c r="AB12" s="6"/>
      <c r="AC12" s="6"/>
      <c r="AD12" s="6"/>
      <c r="AE12" s="6" t="s">
        <v>129</v>
      </c>
      <c r="AF12" s="6"/>
      <c r="AG12" s="5"/>
      <c r="AH12" s="1"/>
      <c r="AI12" s="1"/>
    </row>
    <row r="13" spans="1:35" ht="13">
      <c r="A13" s="13" t="s">
        <v>69</v>
      </c>
      <c r="B13" s="5" t="str">
        <f t="shared" si="0"/>
        <v>Home &gt; Sectors &gt; Technology &gt; Software</v>
      </c>
      <c r="C13" s="5" t="s">
        <v>68</v>
      </c>
      <c r="D13" s="5" t="s">
        <v>63</v>
      </c>
      <c r="E13" s="5"/>
      <c r="F13" s="5"/>
      <c r="G13" s="5"/>
      <c r="H13" s="6"/>
      <c r="I13" s="6"/>
      <c r="J13" s="6"/>
      <c r="K13" s="6"/>
      <c r="L13" s="6"/>
      <c r="M13" s="6"/>
      <c r="N13" s="6"/>
      <c r="O13" s="6"/>
      <c r="P13" s="6"/>
      <c r="Q13" s="6"/>
      <c r="R13" s="6"/>
      <c r="S13" s="6"/>
      <c r="T13" s="6"/>
      <c r="U13" s="6"/>
      <c r="V13" s="6"/>
      <c r="W13" s="6"/>
      <c r="X13" s="6"/>
      <c r="Y13" s="6"/>
      <c r="Z13" s="6"/>
      <c r="AA13" s="6"/>
      <c r="AB13" s="6"/>
      <c r="AC13" s="6"/>
      <c r="AD13" s="6"/>
      <c r="AE13" s="6" t="s">
        <v>129</v>
      </c>
      <c r="AF13" s="6"/>
      <c r="AG13" s="5"/>
      <c r="AH13" s="1"/>
      <c r="AI13" s="1"/>
    </row>
    <row r="14" spans="1:35" ht="13">
      <c r="A14" s="13" t="s">
        <v>70</v>
      </c>
      <c r="B14" s="5" t="str">
        <f t="shared" si="0"/>
        <v>Home &gt; Sectors &gt; Technology &gt; IT Services</v>
      </c>
      <c r="C14" s="5" t="s">
        <v>68</v>
      </c>
      <c r="D14" s="5" t="s">
        <v>63</v>
      </c>
      <c r="E14" s="5"/>
      <c r="F14" s="5"/>
      <c r="G14" s="5"/>
      <c r="H14" s="6"/>
      <c r="I14" s="6"/>
      <c r="J14" s="6"/>
      <c r="K14" s="6"/>
      <c r="L14" s="6"/>
      <c r="M14" s="6"/>
      <c r="N14" s="6"/>
      <c r="O14" s="6"/>
      <c r="P14" s="6"/>
      <c r="Q14" s="6"/>
      <c r="R14" s="6"/>
      <c r="S14" s="6"/>
      <c r="T14" s="6"/>
      <c r="U14" s="6"/>
      <c r="V14" s="6"/>
      <c r="W14" s="6"/>
      <c r="X14" s="6"/>
      <c r="Y14" s="6"/>
      <c r="Z14" s="6"/>
      <c r="AA14" s="6"/>
      <c r="AB14" s="6"/>
      <c r="AC14" s="6"/>
      <c r="AD14" s="6"/>
      <c r="AE14" s="6" t="s">
        <v>129</v>
      </c>
      <c r="AF14" s="6"/>
      <c r="AG14" s="5"/>
      <c r="AH14" s="1"/>
      <c r="AI14" s="1"/>
    </row>
    <row r="15" spans="1:35" ht="13">
      <c r="A15" s="13" t="s">
        <v>71</v>
      </c>
      <c r="B15" s="5" t="str">
        <f t="shared" si="0"/>
        <v>Home &gt; Sectors &gt; Technology &gt; Internet &amp; Digital Services</v>
      </c>
      <c r="C15" s="5" t="s">
        <v>68</v>
      </c>
      <c r="D15" s="5" t="s">
        <v>63</v>
      </c>
      <c r="E15" s="5"/>
      <c r="F15" s="5"/>
      <c r="G15" s="5"/>
      <c r="H15" s="6"/>
      <c r="I15" s="6"/>
      <c r="J15" s="6"/>
      <c r="K15" s="6"/>
      <c r="L15" s="6"/>
      <c r="M15" s="6"/>
      <c r="N15" s="6"/>
      <c r="O15" s="6"/>
      <c r="P15" s="6"/>
      <c r="Q15" s="6"/>
      <c r="R15" s="6"/>
      <c r="S15" s="6"/>
      <c r="T15" s="6"/>
      <c r="U15" s="6"/>
      <c r="V15" s="6"/>
      <c r="W15" s="6"/>
      <c r="X15" s="6"/>
      <c r="Y15" s="6"/>
      <c r="Z15" s="6"/>
      <c r="AA15" s="6"/>
      <c r="AB15" s="6"/>
      <c r="AC15" s="6"/>
      <c r="AD15" s="6"/>
      <c r="AE15" s="6" t="s">
        <v>129</v>
      </c>
      <c r="AF15" s="6"/>
      <c r="AG15" s="5"/>
      <c r="AH15" s="1"/>
      <c r="AI15" s="1"/>
    </row>
    <row r="16" spans="1:35" ht="13">
      <c r="A16" s="13" t="s">
        <v>72</v>
      </c>
      <c r="B16" s="5" t="str">
        <f t="shared" si="0"/>
        <v>Home &gt; Sectors &gt; Technology &gt; Emerging Technology</v>
      </c>
      <c r="C16" s="5" t="s">
        <v>68</v>
      </c>
      <c r="D16" s="5" t="s">
        <v>63</v>
      </c>
      <c r="E16" s="5"/>
      <c r="F16" s="5"/>
      <c r="G16" s="5"/>
      <c r="H16" s="6"/>
      <c r="I16" s="6"/>
      <c r="J16" s="6"/>
      <c r="K16" s="6"/>
      <c r="L16" s="6"/>
      <c r="M16" s="6"/>
      <c r="N16" s="6"/>
      <c r="O16" s="6"/>
      <c r="P16" s="6"/>
      <c r="Q16" s="6"/>
      <c r="R16" s="6"/>
      <c r="S16" s="6"/>
      <c r="T16" s="6"/>
      <c r="U16" s="6"/>
      <c r="V16" s="6"/>
      <c r="W16" s="6"/>
      <c r="X16" s="6"/>
      <c r="Y16" s="6"/>
      <c r="Z16" s="6"/>
      <c r="AA16" s="6"/>
      <c r="AB16" s="6"/>
      <c r="AC16" s="6"/>
      <c r="AD16" s="6"/>
      <c r="AE16" s="6" t="s">
        <v>129</v>
      </c>
      <c r="AF16" s="6"/>
      <c r="AG16" s="5"/>
      <c r="AH16" s="1"/>
      <c r="AI16" s="1"/>
    </row>
    <row r="17" spans="1:35" ht="13">
      <c r="A17" s="13" t="s">
        <v>73</v>
      </c>
      <c r="B17" s="5" t="str">
        <f t="shared" si="0"/>
        <v>Home &gt; Sectors &gt; Technology &gt; Telecommunications &amp; Networking</v>
      </c>
      <c r="C17" s="5" t="s">
        <v>68</v>
      </c>
      <c r="D17" s="5" t="s">
        <v>63</v>
      </c>
      <c r="E17" s="5"/>
      <c r="F17" s="5"/>
      <c r="G17" s="5"/>
      <c r="H17" s="6"/>
      <c r="I17" s="6"/>
      <c r="J17" s="6"/>
      <c r="K17" s="6"/>
      <c r="L17" s="6"/>
      <c r="M17" s="6"/>
      <c r="N17" s="6"/>
      <c r="O17" s="6"/>
      <c r="P17" s="6"/>
      <c r="Q17" s="6"/>
      <c r="R17" s="6"/>
      <c r="S17" s="6"/>
      <c r="T17" s="6"/>
      <c r="U17" s="6"/>
      <c r="V17" s="6"/>
      <c r="W17" s="6"/>
      <c r="X17" s="6"/>
      <c r="Y17" s="6"/>
      <c r="Z17" s="6"/>
      <c r="AA17" s="6"/>
      <c r="AB17" s="6"/>
      <c r="AC17" s="6"/>
      <c r="AD17" s="6"/>
      <c r="AE17" s="6" t="s">
        <v>129</v>
      </c>
      <c r="AF17" s="6"/>
      <c r="AG17" s="5"/>
      <c r="AH17" s="1"/>
      <c r="AI17" s="1"/>
    </row>
    <row r="18" spans="1:35" ht="13">
      <c r="A18" s="14" t="s">
        <v>74</v>
      </c>
      <c r="B18" s="5" t="str">
        <f t="shared" si="0"/>
        <v>Home &gt; Sectors &gt; Technology &gt; Health &amp; Biotech</v>
      </c>
      <c r="C18" s="5" t="s">
        <v>68</v>
      </c>
      <c r="D18" s="5" t="s">
        <v>63</v>
      </c>
      <c r="E18" s="5"/>
      <c r="F18" s="5"/>
      <c r="G18" s="5"/>
      <c r="H18" s="6"/>
      <c r="I18" s="6"/>
      <c r="J18" s="6"/>
      <c r="K18" s="6"/>
      <c r="L18" s="6"/>
      <c r="M18" s="6"/>
      <c r="N18" s="6"/>
      <c r="O18" s="6"/>
      <c r="P18" s="6"/>
      <c r="Q18" s="6"/>
      <c r="R18" s="6"/>
      <c r="S18" s="6"/>
      <c r="T18" s="6"/>
      <c r="U18" s="6"/>
      <c r="V18" s="6"/>
      <c r="W18" s="6"/>
      <c r="X18" s="6"/>
      <c r="Y18" s="6"/>
      <c r="Z18" s="6"/>
      <c r="AA18" s="6"/>
      <c r="AB18" s="6"/>
      <c r="AC18" s="6"/>
      <c r="AD18" s="6"/>
      <c r="AE18" s="6" t="s">
        <v>129</v>
      </c>
      <c r="AF18" s="6"/>
      <c r="AG18" s="5"/>
      <c r="AH18" s="1"/>
      <c r="AI18" s="1"/>
    </row>
    <row r="19" spans="1:35" ht="13">
      <c r="A19" s="13" t="s">
        <v>75</v>
      </c>
      <c r="B19" s="5" t="str">
        <f t="shared" si="0"/>
        <v>Home &gt; Sectors &gt; Consumer Products &gt; Food &amp; Beverage</v>
      </c>
      <c r="C19" s="5" t="s">
        <v>76</v>
      </c>
      <c r="D19" s="5" t="s">
        <v>63</v>
      </c>
      <c r="E19" s="5"/>
      <c r="F19" s="5"/>
      <c r="G19" s="5"/>
      <c r="H19" s="6"/>
      <c r="I19" s="6"/>
      <c r="J19" s="6"/>
      <c r="K19" s="6"/>
      <c r="L19" s="6"/>
      <c r="M19" s="6"/>
      <c r="N19" s="6"/>
      <c r="O19" s="6"/>
      <c r="P19" s="6"/>
      <c r="Q19" s="6"/>
      <c r="R19" s="6"/>
      <c r="S19" s="6"/>
      <c r="T19" s="6"/>
      <c r="U19" s="6"/>
      <c r="V19" s="6"/>
      <c r="W19" s="6"/>
      <c r="X19" s="6"/>
      <c r="Y19" s="6"/>
      <c r="Z19" s="6"/>
      <c r="AA19" s="6"/>
      <c r="AB19" s="6"/>
      <c r="AC19" s="6"/>
      <c r="AD19" s="6"/>
      <c r="AE19" s="6" t="s">
        <v>129</v>
      </c>
      <c r="AF19" s="6"/>
      <c r="AG19" s="5"/>
      <c r="AH19" s="1"/>
      <c r="AI19" s="1"/>
    </row>
    <row r="20" spans="1:35" ht="13">
      <c r="A20" s="13" t="s">
        <v>77</v>
      </c>
      <c r="B20" s="5" t="str">
        <f t="shared" si="0"/>
        <v>Home &gt; Sectors &gt; Consumer Products &gt; Apparel &amp; Footwear</v>
      </c>
      <c r="C20" s="5" t="s">
        <v>76</v>
      </c>
      <c r="D20" s="5" t="s">
        <v>63</v>
      </c>
      <c r="E20" s="5"/>
      <c r="F20" s="5"/>
      <c r="G20" s="5"/>
      <c r="H20" s="6"/>
      <c r="I20" s="6"/>
      <c r="J20" s="6"/>
      <c r="K20" s="6"/>
      <c r="L20" s="6"/>
      <c r="M20" s="6"/>
      <c r="N20" s="6"/>
      <c r="O20" s="6"/>
      <c r="P20" s="6"/>
      <c r="Q20" s="6"/>
      <c r="R20" s="6"/>
      <c r="S20" s="6"/>
      <c r="T20" s="6"/>
      <c r="U20" s="6"/>
      <c r="V20" s="6"/>
      <c r="W20" s="6"/>
      <c r="X20" s="6"/>
      <c r="Y20" s="6"/>
      <c r="Z20" s="6"/>
      <c r="AA20" s="6"/>
      <c r="AB20" s="6"/>
      <c r="AC20" s="6"/>
      <c r="AD20" s="6"/>
      <c r="AE20" s="6" t="s">
        <v>129</v>
      </c>
      <c r="AF20" s="6"/>
      <c r="AG20" s="5"/>
      <c r="AH20" s="1"/>
      <c r="AI20" s="1"/>
    </row>
    <row r="21" spans="1:35" ht="13">
      <c r="A21" s="13" t="s">
        <v>78</v>
      </c>
      <c r="B21" s="5" t="str">
        <f t="shared" si="0"/>
        <v>Home &gt; Sectors &gt; Consumer Products &gt; Consumer Electronics</v>
      </c>
      <c r="C21" s="5" t="s">
        <v>76</v>
      </c>
      <c r="D21" s="5" t="s">
        <v>63</v>
      </c>
      <c r="E21" s="5"/>
      <c r="F21" s="5"/>
      <c r="G21" s="5"/>
      <c r="H21" s="6"/>
      <c r="I21" s="6"/>
      <c r="J21" s="6"/>
      <c r="K21" s="6"/>
      <c r="L21" s="6"/>
      <c r="M21" s="6"/>
      <c r="N21" s="6"/>
      <c r="O21" s="6"/>
      <c r="P21" s="6"/>
      <c r="Q21" s="6"/>
      <c r="R21" s="6"/>
      <c r="S21" s="6"/>
      <c r="T21" s="6"/>
      <c r="U21" s="6"/>
      <c r="V21" s="6"/>
      <c r="W21" s="6"/>
      <c r="X21" s="6"/>
      <c r="Y21" s="6"/>
      <c r="Z21" s="6"/>
      <c r="AA21" s="6"/>
      <c r="AB21" s="6"/>
      <c r="AC21" s="6"/>
      <c r="AD21" s="6"/>
      <c r="AE21" s="6" t="s">
        <v>129</v>
      </c>
      <c r="AF21" s="6"/>
      <c r="AG21" s="5"/>
      <c r="AH21" s="1"/>
      <c r="AI21" s="1"/>
    </row>
    <row r="22" spans="1:35" ht="13">
      <c r="A22" s="13" t="s">
        <v>79</v>
      </c>
      <c r="B22" s="5" t="str">
        <f t="shared" si="0"/>
        <v>Home &gt; Sectors &gt; Consumer Products &gt; Personal Care &amp; Household Products</v>
      </c>
      <c r="C22" s="5" t="s">
        <v>76</v>
      </c>
      <c r="D22" s="5" t="s">
        <v>63</v>
      </c>
      <c r="E22" s="5"/>
      <c r="F22" s="5"/>
      <c r="G22" s="5"/>
      <c r="H22" s="6"/>
      <c r="I22" s="6"/>
      <c r="J22" s="6"/>
      <c r="K22" s="6"/>
      <c r="L22" s="6"/>
      <c r="M22" s="6"/>
      <c r="N22" s="6"/>
      <c r="O22" s="6"/>
      <c r="P22" s="6"/>
      <c r="Q22" s="6"/>
      <c r="R22" s="6"/>
      <c r="S22" s="6"/>
      <c r="T22" s="6"/>
      <c r="U22" s="6"/>
      <c r="V22" s="6"/>
      <c r="W22" s="6"/>
      <c r="X22" s="6"/>
      <c r="Y22" s="6"/>
      <c r="Z22" s="6"/>
      <c r="AA22" s="6"/>
      <c r="AB22" s="6"/>
      <c r="AC22" s="6"/>
      <c r="AD22" s="6"/>
      <c r="AE22" s="6" t="s">
        <v>129</v>
      </c>
      <c r="AF22" s="6"/>
      <c r="AG22" s="5"/>
      <c r="AH22" s="1"/>
      <c r="AI22" s="1"/>
    </row>
    <row r="23" spans="1:35" ht="13">
      <c r="A23" s="13" t="s">
        <v>80</v>
      </c>
      <c r="B23" s="5" t="str">
        <f t="shared" si="0"/>
        <v>Home &gt; Sectors &gt; Consumer Products &gt; Furniture &amp; Home Goods</v>
      </c>
      <c r="C23" s="5" t="s">
        <v>76</v>
      </c>
      <c r="D23" s="5" t="s">
        <v>63</v>
      </c>
      <c r="E23" s="5"/>
      <c r="F23" s="5"/>
      <c r="G23" s="5"/>
      <c r="H23" s="6"/>
      <c r="I23" s="6"/>
      <c r="J23" s="6"/>
      <c r="K23" s="6"/>
      <c r="L23" s="6"/>
      <c r="M23" s="6"/>
      <c r="N23" s="6"/>
      <c r="O23" s="6"/>
      <c r="P23" s="6"/>
      <c r="Q23" s="6"/>
      <c r="R23" s="6"/>
      <c r="S23" s="6"/>
      <c r="T23" s="6"/>
      <c r="U23" s="6"/>
      <c r="V23" s="6"/>
      <c r="W23" s="6"/>
      <c r="X23" s="6"/>
      <c r="Y23" s="6"/>
      <c r="Z23" s="6"/>
      <c r="AA23" s="6"/>
      <c r="AB23" s="6"/>
      <c r="AC23" s="6"/>
      <c r="AD23" s="6"/>
      <c r="AE23" s="6" t="s">
        <v>129</v>
      </c>
      <c r="AF23" s="6"/>
      <c r="AG23" s="5"/>
      <c r="AH23" s="1"/>
      <c r="AI23" s="1"/>
    </row>
    <row r="24" spans="1:35" ht="13">
      <c r="A24" s="13" t="s">
        <v>81</v>
      </c>
      <c r="B24" s="5" t="str">
        <f t="shared" si="0"/>
        <v>Home &gt; Sectors &gt; Consumer Products &gt; Sporting Goods &amp; Outdoor Equipment</v>
      </c>
      <c r="C24" s="5" t="s">
        <v>76</v>
      </c>
      <c r="D24" s="5" t="s">
        <v>63</v>
      </c>
      <c r="E24" s="5"/>
      <c r="F24" s="5"/>
      <c r="G24" s="5"/>
      <c r="H24" s="6"/>
      <c r="I24" s="6"/>
      <c r="J24" s="6"/>
      <c r="K24" s="6"/>
      <c r="L24" s="6"/>
      <c r="M24" s="6"/>
      <c r="N24" s="6"/>
      <c r="O24" s="6"/>
      <c r="P24" s="6"/>
      <c r="Q24" s="6"/>
      <c r="R24" s="6"/>
      <c r="S24" s="6"/>
      <c r="T24" s="6"/>
      <c r="U24" s="6"/>
      <c r="V24" s="6"/>
      <c r="W24" s="6"/>
      <c r="X24" s="6"/>
      <c r="Y24" s="6"/>
      <c r="Z24" s="6"/>
      <c r="AA24" s="6"/>
      <c r="AB24" s="6"/>
      <c r="AC24" s="6"/>
      <c r="AD24" s="6"/>
      <c r="AE24" s="6" t="s">
        <v>129</v>
      </c>
      <c r="AF24" s="6"/>
      <c r="AG24" s="5"/>
      <c r="AH24" s="1"/>
      <c r="AI24" s="1"/>
    </row>
    <row r="25" spans="1:35" ht="13">
      <c r="A25" s="13" t="s">
        <v>82</v>
      </c>
      <c r="B25" s="5" t="str">
        <f t="shared" si="0"/>
        <v>Home &gt; Sectors &gt; Financial &amp; Insurance Services &gt; Banking</v>
      </c>
      <c r="C25" s="5" t="s">
        <v>83</v>
      </c>
      <c r="D25" s="5" t="s">
        <v>63</v>
      </c>
      <c r="E25" s="5"/>
      <c r="F25" s="5"/>
      <c r="G25" s="5"/>
      <c r="H25" s="6"/>
      <c r="I25" s="6"/>
      <c r="J25" s="6"/>
      <c r="K25" s="6"/>
      <c r="L25" s="6"/>
      <c r="M25" s="6"/>
      <c r="N25" s="6"/>
      <c r="O25" s="6"/>
      <c r="P25" s="6"/>
      <c r="Q25" s="6"/>
      <c r="R25" s="6"/>
      <c r="S25" s="6"/>
      <c r="T25" s="6"/>
      <c r="U25" s="6"/>
      <c r="V25" s="6"/>
      <c r="W25" s="6"/>
      <c r="X25" s="6"/>
      <c r="Y25" s="6"/>
      <c r="Z25" s="6"/>
      <c r="AA25" s="6"/>
      <c r="AB25" s="6"/>
      <c r="AC25" s="6"/>
      <c r="AD25" s="6"/>
      <c r="AE25" s="6" t="s">
        <v>129</v>
      </c>
      <c r="AF25" s="6"/>
      <c r="AG25" s="5"/>
      <c r="AH25" s="1"/>
      <c r="AI25" s="1"/>
    </row>
    <row r="26" spans="1:35" ht="13">
      <c r="A26" s="13" t="s">
        <v>84</v>
      </c>
      <c r="B26" s="5" t="str">
        <f t="shared" si="0"/>
        <v>Home &gt; Sectors &gt; Financial &amp; Insurance Services &gt; Credit &amp; Lending</v>
      </c>
      <c r="C26" s="5" t="s">
        <v>83</v>
      </c>
      <c r="D26" s="5" t="s">
        <v>63</v>
      </c>
      <c r="E26" s="5"/>
      <c r="F26" s="5"/>
      <c r="G26" s="5"/>
      <c r="H26" s="6"/>
      <c r="I26" s="6"/>
      <c r="J26" s="6"/>
      <c r="K26" s="6"/>
      <c r="L26" s="6"/>
      <c r="M26" s="6"/>
      <c r="N26" s="6"/>
      <c r="O26" s="6"/>
      <c r="P26" s="6"/>
      <c r="Q26" s="6"/>
      <c r="R26" s="6"/>
      <c r="S26" s="6"/>
      <c r="T26" s="6"/>
      <c r="U26" s="6"/>
      <c r="V26" s="6"/>
      <c r="W26" s="6"/>
      <c r="X26" s="6"/>
      <c r="Y26" s="6"/>
      <c r="Z26" s="6"/>
      <c r="AA26" s="6"/>
      <c r="AB26" s="6"/>
      <c r="AC26" s="6"/>
      <c r="AD26" s="6"/>
      <c r="AE26" s="6" t="s">
        <v>129</v>
      </c>
      <c r="AF26" s="6"/>
      <c r="AG26" s="5"/>
      <c r="AH26" s="1"/>
      <c r="AI26" s="1"/>
    </row>
    <row r="27" spans="1:35" ht="13">
      <c r="A27" s="13" t="s">
        <v>85</v>
      </c>
      <c r="B27" s="5" t="str">
        <f t="shared" si="0"/>
        <v>Home &gt; Sectors &gt; Financial &amp; Insurance Services &gt; Securities &amp; Investments</v>
      </c>
      <c r="C27" s="5" t="s">
        <v>83</v>
      </c>
      <c r="D27" s="5" t="s">
        <v>63</v>
      </c>
      <c r="E27" s="5"/>
      <c r="F27" s="5"/>
      <c r="G27" s="5"/>
      <c r="H27" s="6"/>
      <c r="I27" s="6"/>
      <c r="J27" s="6"/>
      <c r="K27" s="6"/>
      <c r="L27" s="6"/>
      <c r="M27" s="6"/>
      <c r="N27" s="6"/>
      <c r="O27" s="6"/>
      <c r="P27" s="6"/>
      <c r="Q27" s="6"/>
      <c r="R27" s="6"/>
      <c r="S27" s="6"/>
      <c r="T27" s="6"/>
      <c r="U27" s="6"/>
      <c r="V27" s="6"/>
      <c r="W27" s="6"/>
      <c r="X27" s="6"/>
      <c r="Y27" s="6"/>
      <c r="Z27" s="6"/>
      <c r="AA27" s="6"/>
      <c r="AB27" s="6"/>
      <c r="AC27" s="6"/>
      <c r="AD27" s="6"/>
      <c r="AE27" s="6" t="s">
        <v>129</v>
      </c>
      <c r="AF27" s="6"/>
      <c r="AG27" s="5"/>
      <c r="AH27" s="1"/>
      <c r="AI27" s="1"/>
    </row>
    <row r="28" spans="1:35" ht="13">
      <c r="A28" s="13" t="s">
        <v>86</v>
      </c>
      <c r="B28" s="5" t="str">
        <f t="shared" si="0"/>
        <v>Home &gt; Sectors &gt; Financial &amp; Insurance Services &gt; Fintech</v>
      </c>
      <c r="C28" s="5" t="s">
        <v>83</v>
      </c>
      <c r="D28" s="5" t="s">
        <v>63</v>
      </c>
      <c r="E28" s="5"/>
      <c r="F28" s="5"/>
      <c r="G28" s="5"/>
      <c r="H28" s="6"/>
      <c r="I28" s="6"/>
      <c r="J28" s="6"/>
      <c r="K28" s="6"/>
      <c r="L28" s="6"/>
      <c r="M28" s="6"/>
      <c r="N28" s="6"/>
      <c r="O28" s="6"/>
      <c r="P28" s="6"/>
      <c r="Q28" s="6"/>
      <c r="R28" s="6"/>
      <c r="S28" s="6"/>
      <c r="T28" s="6"/>
      <c r="U28" s="6"/>
      <c r="V28" s="6"/>
      <c r="W28" s="6"/>
      <c r="X28" s="6"/>
      <c r="Y28" s="6"/>
      <c r="Z28" s="6"/>
      <c r="AA28" s="6"/>
      <c r="AB28" s="6"/>
      <c r="AC28" s="6"/>
      <c r="AD28" s="6"/>
      <c r="AE28" s="6" t="s">
        <v>129</v>
      </c>
      <c r="AF28" s="6"/>
      <c r="AG28" s="5"/>
      <c r="AH28" s="1"/>
      <c r="AI28" s="1"/>
    </row>
    <row r="29" spans="1:35" ht="13">
      <c r="A29" s="13" t="s">
        <v>87</v>
      </c>
      <c r="B29" s="5" t="str">
        <f t="shared" si="0"/>
        <v>Home &gt; Sectors &gt; Financial &amp; Insurance Services &gt; Financial Advisory &amp; Consulting</v>
      </c>
      <c r="C29" s="5" t="s">
        <v>83</v>
      </c>
      <c r="D29" s="5" t="s">
        <v>63</v>
      </c>
      <c r="E29" s="5"/>
      <c r="F29" s="5"/>
      <c r="G29" s="5"/>
      <c r="H29" s="6"/>
      <c r="I29" s="6"/>
      <c r="J29" s="6"/>
      <c r="K29" s="6"/>
      <c r="L29" s="6"/>
      <c r="M29" s="6"/>
      <c r="N29" s="6"/>
      <c r="O29" s="6"/>
      <c r="P29" s="6"/>
      <c r="Q29" s="6"/>
      <c r="R29" s="6"/>
      <c r="S29" s="6"/>
      <c r="T29" s="6"/>
      <c r="U29" s="6"/>
      <c r="V29" s="6"/>
      <c r="W29" s="6"/>
      <c r="X29" s="6"/>
      <c r="Y29" s="6"/>
      <c r="Z29" s="6"/>
      <c r="AA29" s="6"/>
      <c r="AB29" s="6"/>
      <c r="AC29" s="6"/>
      <c r="AD29" s="6"/>
      <c r="AE29" s="6" t="s">
        <v>129</v>
      </c>
      <c r="AF29" s="6"/>
      <c r="AG29" s="5"/>
      <c r="AH29" s="1"/>
      <c r="AI29" s="1"/>
    </row>
    <row r="30" spans="1:35" ht="13">
      <c r="A30" s="13" t="s">
        <v>88</v>
      </c>
      <c r="B30" s="5" t="str">
        <f t="shared" si="0"/>
        <v>Home &gt; Sectors &gt; Financial &amp; Insurance Services &gt; Life Insurance &amp; Annuities</v>
      </c>
      <c r="C30" s="5" t="s">
        <v>83</v>
      </c>
      <c r="D30" s="5" t="s">
        <v>63</v>
      </c>
      <c r="E30" s="5"/>
      <c r="F30" s="5"/>
      <c r="G30" s="5"/>
      <c r="H30" s="6"/>
      <c r="I30" s="6"/>
      <c r="J30" s="6"/>
      <c r="K30" s="6"/>
      <c r="L30" s="6"/>
      <c r="M30" s="6"/>
      <c r="N30" s="6"/>
      <c r="O30" s="6"/>
      <c r="P30" s="6"/>
      <c r="Q30" s="6"/>
      <c r="R30" s="6"/>
      <c r="S30" s="6"/>
      <c r="T30" s="6"/>
      <c r="U30" s="6"/>
      <c r="V30" s="6"/>
      <c r="W30" s="6"/>
      <c r="X30" s="6"/>
      <c r="Y30" s="6"/>
      <c r="Z30" s="6"/>
      <c r="AA30" s="6"/>
      <c r="AB30" s="6"/>
      <c r="AC30" s="6"/>
      <c r="AD30" s="6"/>
      <c r="AE30" s="6" t="s">
        <v>129</v>
      </c>
      <c r="AF30" s="6"/>
      <c r="AG30" s="5"/>
      <c r="AH30" s="1"/>
      <c r="AI30" s="1"/>
    </row>
    <row r="31" spans="1:35" ht="13">
      <c r="A31" s="13" t="s">
        <v>89</v>
      </c>
      <c r="B31" s="5" t="str">
        <f t="shared" si="0"/>
        <v>Home &gt; Sectors &gt; Financial &amp; Insurance Services &gt; Health Insurance</v>
      </c>
      <c r="C31" s="5" t="s">
        <v>83</v>
      </c>
      <c r="D31" s="5" t="s">
        <v>63</v>
      </c>
      <c r="E31" s="5"/>
      <c r="F31" s="5"/>
      <c r="G31" s="5"/>
      <c r="H31" s="6"/>
      <c r="I31" s="6"/>
      <c r="J31" s="6"/>
      <c r="K31" s="6"/>
      <c r="L31" s="6"/>
      <c r="M31" s="6"/>
      <c r="N31" s="6"/>
      <c r="O31" s="6"/>
      <c r="P31" s="6"/>
      <c r="Q31" s="6"/>
      <c r="R31" s="6"/>
      <c r="S31" s="6"/>
      <c r="T31" s="6"/>
      <c r="U31" s="6"/>
      <c r="V31" s="6"/>
      <c r="W31" s="6"/>
      <c r="X31" s="6"/>
      <c r="Y31" s="6"/>
      <c r="Z31" s="6"/>
      <c r="AA31" s="6"/>
      <c r="AB31" s="6"/>
      <c r="AC31" s="6"/>
      <c r="AD31" s="6"/>
      <c r="AE31" s="6" t="s">
        <v>129</v>
      </c>
      <c r="AF31" s="6"/>
      <c r="AG31" s="5"/>
      <c r="AH31" s="1"/>
      <c r="AI31" s="1"/>
    </row>
    <row r="32" spans="1:35" ht="13">
      <c r="A32" s="13" t="s">
        <v>90</v>
      </c>
      <c r="B32" s="5" t="str">
        <f t="shared" si="0"/>
        <v>Home &gt; Sectors &gt; Financial &amp; Insurance Services &gt; Property &amp; Casualty Insurance</v>
      </c>
      <c r="C32" s="5" t="s">
        <v>83</v>
      </c>
      <c r="D32" s="5" t="s">
        <v>63</v>
      </c>
      <c r="E32" s="5"/>
      <c r="F32" s="5"/>
      <c r="G32" s="5"/>
      <c r="H32" s="6"/>
      <c r="I32" s="6"/>
      <c r="J32" s="6"/>
      <c r="K32" s="6"/>
      <c r="L32" s="6"/>
      <c r="M32" s="6"/>
      <c r="N32" s="6"/>
      <c r="O32" s="6"/>
      <c r="P32" s="6"/>
      <c r="Q32" s="6"/>
      <c r="R32" s="6"/>
      <c r="S32" s="6"/>
      <c r="T32" s="6"/>
      <c r="U32" s="6"/>
      <c r="V32" s="6"/>
      <c r="W32" s="6"/>
      <c r="X32" s="6"/>
      <c r="Y32" s="6"/>
      <c r="Z32" s="6"/>
      <c r="AA32" s="6"/>
      <c r="AB32" s="6"/>
      <c r="AC32" s="6"/>
      <c r="AD32" s="6"/>
      <c r="AE32" s="6" t="s">
        <v>129</v>
      </c>
      <c r="AF32" s="6"/>
      <c r="AG32" s="5"/>
      <c r="AH32" s="1"/>
      <c r="AI32" s="1"/>
    </row>
    <row r="33" spans="1:35" ht="13">
      <c r="A33" s="13" t="s">
        <v>91</v>
      </c>
      <c r="B33" s="5" t="str">
        <f t="shared" si="0"/>
        <v>Home &gt; Sectors &gt; Financial &amp; Insurance Services &gt; Reinsurance</v>
      </c>
      <c r="C33" s="5" t="s">
        <v>83</v>
      </c>
      <c r="D33" s="5" t="s">
        <v>63</v>
      </c>
      <c r="E33" s="5"/>
      <c r="F33" s="5"/>
      <c r="G33" s="5"/>
      <c r="H33" s="6"/>
      <c r="I33" s="6"/>
      <c r="J33" s="6"/>
      <c r="K33" s="6"/>
      <c r="L33" s="6"/>
      <c r="M33" s="6"/>
      <c r="N33" s="6"/>
      <c r="O33" s="6"/>
      <c r="P33" s="6"/>
      <c r="Q33" s="6"/>
      <c r="R33" s="6"/>
      <c r="S33" s="6"/>
      <c r="T33" s="6"/>
      <c r="U33" s="6"/>
      <c r="V33" s="6"/>
      <c r="W33" s="6"/>
      <c r="X33" s="6"/>
      <c r="Y33" s="6"/>
      <c r="Z33" s="6"/>
      <c r="AA33" s="6"/>
      <c r="AB33" s="6"/>
      <c r="AC33" s="6"/>
      <c r="AD33" s="6"/>
      <c r="AE33" s="6" t="s">
        <v>129</v>
      </c>
      <c r="AF33" s="6"/>
      <c r="AG33" s="5"/>
      <c r="AH33" s="1"/>
      <c r="AI33" s="1"/>
    </row>
    <row r="34" spans="1:35" ht="13">
      <c r="A34" s="13" t="s">
        <v>92</v>
      </c>
      <c r="B34" s="5" t="str">
        <f t="shared" si="0"/>
        <v>Home &gt; Sectors &gt; Financial &amp; Insurance Services &gt; Insurance Brokerage &amp; Agencies</v>
      </c>
      <c r="C34" s="5" t="s">
        <v>83</v>
      </c>
      <c r="D34" s="5" t="s">
        <v>63</v>
      </c>
      <c r="E34" s="5"/>
      <c r="F34" s="5"/>
      <c r="G34" s="5"/>
      <c r="H34" s="6"/>
      <c r="I34" s="6"/>
      <c r="J34" s="6"/>
      <c r="K34" s="6"/>
      <c r="L34" s="6"/>
      <c r="M34" s="6"/>
      <c r="N34" s="6"/>
      <c r="O34" s="6"/>
      <c r="P34" s="6"/>
      <c r="Q34" s="6"/>
      <c r="R34" s="6"/>
      <c r="S34" s="6"/>
      <c r="T34" s="6"/>
      <c r="U34" s="6"/>
      <c r="V34" s="6"/>
      <c r="W34" s="6"/>
      <c r="X34" s="6"/>
      <c r="Y34" s="6"/>
      <c r="Z34" s="6"/>
      <c r="AA34" s="6"/>
      <c r="AB34" s="6"/>
      <c r="AC34" s="6"/>
      <c r="AD34" s="6"/>
      <c r="AE34" s="6" t="s">
        <v>129</v>
      </c>
      <c r="AF34" s="6"/>
      <c r="AG34" s="5"/>
      <c r="AH34" s="1"/>
      <c r="AI34" s="1"/>
    </row>
    <row r="35" spans="1:35" ht="13">
      <c r="A35" s="13" t="s">
        <v>93</v>
      </c>
      <c r="B35" s="5" t="str">
        <f t="shared" si="0"/>
        <v>Home &gt; Sectors &gt; Financial &amp; Insurance Services &gt; Insurance Technology</v>
      </c>
      <c r="C35" s="5" t="s">
        <v>83</v>
      </c>
      <c r="D35" s="5" t="s">
        <v>63</v>
      </c>
      <c r="E35" s="5"/>
      <c r="F35" s="5"/>
      <c r="G35" s="5"/>
      <c r="H35" s="6"/>
      <c r="I35" s="6"/>
      <c r="J35" s="6"/>
      <c r="K35" s="6"/>
      <c r="L35" s="6"/>
      <c r="M35" s="6"/>
      <c r="N35" s="6"/>
      <c r="O35" s="6"/>
      <c r="P35" s="6"/>
      <c r="Q35" s="6"/>
      <c r="R35" s="6"/>
      <c r="S35" s="6"/>
      <c r="T35" s="6"/>
      <c r="U35" s="6"/>
      <c r="V35" s="6"/>
      <c r="W35" s="6"/>
      <c r="X35" s="6"/>
      <c r="Y35" s="6"/>
      <c r="Z35" s="6"/>
      <c r="AA35" s="6"/>
      <c r="AB35" s="6"/>
      <c r="AC35" s="6"/>
      <c r="AD35" s="6"/>
      <c r="AE35" s="6" t="s">
        <v>129</v>
      </c>
      <c r="AF35" s="6"/>
      <c r="AG35" s="5"/>
      <c r="AH35" s="1"/>
      <c r="AI35" s="1"/>
    </row>
    <row r="36" spans="1:35" ht="13">
      <c r="A36" s="13" t="s">
        <v>94</v>
      </c>
      <c r="B36" s="5" t="str">
        <f t="shared" si="0"/>
        <v>Home &gt; Sectors &gt; Private Capital &gt; Private Equity</v>
      </c>
      <c r="C36" s="5" t="s">
        <v>95</v>
      </c>
      <c r="D36" s="5" t="s">
        <v>63</v>
      </c>
      <c r="E36" s="5"/>
      <c r="F36" s="5"/>
      <c r="G36" s="5"/>
      <c r="H36" s="6"/>
      <c r="I36" s="6"/>
      <c r="J36" s="6"/>
      <c r="K36" s="6"/>
      <c r="L36" s="6"/>
      <c r="M36" s="6"/>
      <c r="N36" s="6"/>
      <c r="O36" s="6"/>
      <c r="P36" s="6"/>
      <c r="Q36" s="6"/>
      <c r="R36" s="6"/>
      <c r="S36" s="6"/>
      <c r="T36" s="6"/>
      <c r="U36" s="6"/>
      <c r="V36" s="6"/>
      <c r="W36" s="6"/>
      <c r="X36" s="6"/>
      <c r="Y36" s="6"/>
      <c r="Z36" s="6"/>
      <c r="AA36" s="6"/>
      <c r="AB36" s="6"/>
      <c r="AC36" s="6"/>
      <c r="AD36" s="6"/>
      <c r="AE36" s="6" t="s">
        <v>129</v>
      </c>
      <c r="AF36" s="6"/>
      <c r="AG36" s="5"/>
      <c r="AH36" s="1"/>
      <c r="AI36" s="1"/>
    </row>
    <row r="37" spans="1:35" ht="13">
      <c r="A37" s="13" t="s">
        <v>96</v>
      </c>
      <c r="B37" s="5" t="str">
        <f t="shared" si="0"/>
        <v>Home &gt; Sectors &gt; Private Capital &gt; Venture Capital</v>
      </c>
      <c r="C37" s="5" t="s">
        <v>95</v>
      </c>
      <c r="D37" s="5" t="s">
        <v>63</v>
      </c>
      <c r="E37" s="5"/>
      <c r="F37" s="5"/>
      <c r="G37" s="5"/>
      <c r="H37" s="6"/>
      <c r="I37" s="6"/>
      <c r="J37" s="6"/>
      <c r="K37" s="6"/>
      <c r="L37" s="6"/>
      <c r="M37" s="6"/>
      <c r="N37" s="6"/>
      <c r="O37" s="6"/>
      <c r="P37" s="6"/>
      <c r="Q37" s="6"/>
      <c r="R37" s="6"/>
      <c r="S37" s="6"/>
      <c r="T37" s="6"/>
      <c r="U37" s="6"/>
      <c r="V37" s="6"/>
      <c r="W37" s="6"/>
      <c r="X37" s="6"/>
      <c r="Y37" s="6"/>
      <c r="Z37" s="6"/>
      <c r="AA37" s="6"/>
      <c r="AB37" s="6"/>
      <c r="AC37" s="6"/>
      <c r="AD37" s="6"/>
      <c r="AE37" s="6" t="s">
        <v>129</v>
      </c>
      <c r="AF37" s="6"/>
      <c r="AG37" s="5"/>
      <c r="AH37" s="1"/>
      <c r="AI37" s="1"/>
    </row>
    <row r="38" spans="1:35" ht="13">
      <c r="A38" s="13" t="s">
        <v>97</v>
      </c>
      <c r="B38" s="5" t="str">
        <f t="shared" si="0"/>
        <v>Home &gt; Sectors &gt; Private Capital &gt; Private Credit/ Debt</v>
      </c>
      <c r="C38" s="5" t="s">
        <v>95</v>
      </c>
      <c r="D38" s="5" t="s">
        <v>63</v>
      </c>
      <c r="E38" s="5"/>
      <c r="F38" s="5"/>
      <c r="G38" s="5"/>
      <c r="H38" s="6"/>
      <c r="I38" s="6"/>
      <c r="J38" s="6"/>
      <c r="K38" s="6"/>
      <c r="L38" s="6"/>
      <c r="M38" s="6"/>
      <c r="N38" s="6"/>
      <c r="O38" s="6"/>
      <c r="P38" s="6"/>
      <c r="Q38" s="6"/>
      <c r="R38" s="6"/>
      <c r="S38" s="6"/>
      <c r="T38" s="6"/>
      <c r="U38" s="6"/>
      <c r="V38" s="6"/>
      <c r="W38" s="6"/>
      <c r="X38" s="6"/>
      <c r="Y38" s="6"/>
      <c r="Z38" s="6"/>
      <c r="AA38" s="6"/>
      <c r="AB38" s="6"/>
      <c r="AC38" s="6"/>
      <c r="AD38" s="6"/>
      <c r="AE38" s="6" t="s">
        <v>129</v>
      </c>
      <c r="AF38" s="6"/>
      <c r="AG38" s="5"/>
      <c r="AH38" s="1"/>
      <c r="AI38" s="1"/>
    </row>
    <row r="39" spans="1:35" ht="13">
      <c r="A39" s="13" t="s">
        <v>98</v>
      </c>
      <c r="B39" s="5" t="str">
        <f t="shared" si="0"/>
        <v>Home &gt; Sectors &gt; Private Capital &gt; Real Assets</v>
      </c>
      <c r="C39" s="5" t="s">
        <v>95</v>
      </c>
      <c r="D39" s="5" t="s">
        <v>63</v>
      </c>
      <c r="E39" s="5"/>
      <c r="F39" s="5"/>
      <c r="G39" s="5"/>
      <c r="H39" s="6"/>
      <c r="I39" s="6"/>
      <c r="J39" s="6"/>
      <c r="K39" s="6"/>
      <c r="L39" s="6"/>
      <c r="M39" s="6"/>
      <c r="N39" s="6"/>
      <c r="O39" s="6"/>
      <c r="P39" s="6"/>
      <c r="Q39" s="6"/>
      <c r="R39" s="6"/>
      <c r="S39" s="6"/>
      <c r="T39" s="6"/>
      <c r="U39" s="6"/>
      <c r="V39" s="6"/>
      <c r="W39" s="6"/>
      <c r="X39" s="6"/>
      <c r="Y39" s="6"/>
      <c r="Z39" s="6"/>
      <c r="AA39" s="6"/>
      <c r="AB39" s="6"/>
      <c r="AC39" s="6"/>
      <c r="AD39" s="6"/>
      <c r="AE39" s="6" t="s">
        <v>129</v>
      </c>
      <c r="AF39" s="6"/>
      <c r="AG39" s="5"/>
      <c r="AH39" s="1"/>
      <c r="AI39" s="1"/>
    </row>
    <row r="40" spans="1:35" ht="13">
      <c r="A40" s="13" t="s">
        <v>99</v>
      </c>
      <c r="B40" s="5" t="str">
        <f t="shared" si="0"/>
        <v>Home &gt; Sectors &gt; Private Capital &gt; Fund of Funds (FoF)</v>
      </c>
      <c r="C40" s="5" t="s">
        <v>95</v>
      </c>
      <c r="D40" s="5" t="s">
        <v>63</v>
      </c>
      <c r="E40" s="5"/>
      <c r="F40" s="5"/>
      <c r="G40" s="5"/>
      <c r="H40" s="6"/>
      <c r="I40" s="6"/>
      <c r="J40" s="6"/>
      <c r="K40" s="6"/>
      <c r="L40" s="6"/>
      <c r="M40" s="6"/>
      <c r="N40" s="6"/>
      <c r="O40" s="6"/>
      <c r="P40" s="6"/>
      <c r="Q40" s="6"/>
      <c r="R40" s="6"/>
      <c r="S40" s="6"/>
      <c r="T40" s="6"/>
      <c r="U40" s="6"/>
      <c r="V40" s="6"/>
      <c r="W40" s="6"/>
      <c r="X40" s="6"/>
      <c r="Y40" s="6"/>
      <c r="Z40" s="6"/>
      <c r="AA40" s="6"/>
      <c r="AB40" s="6"/>
      <c r="AC40" s="6"/>
      <c r="AD40" s="6"/>
      <c r="AE40" s="6" t="s">
        <v>129</v>
      </c>
      <c r="AF40" s="6"/>
      <c r="AG40" s="5"/>
      <c r="AH40" s="1"/>
      <c r="AI40" s="1"/>
    </row>
    <row r="41" spans="1:35" ht="13">
      <c r="A41" s="13"/>
      <c r="B41" s="5"/>
      <c r="C41" s="5"/>
      <c r="D41" s="5"/>
      <c r="E41" s="5"/>
      <c r="F41" s="5"/>
      <c r="G41" s="5"/>
      <c r="H41" s="6"/>
      <c r="I41" s="6"/>
      <c r="J41" s="6"/>
      <c r="K41" s="6"/>
      <c r="L41" s="6"/>
      <c r="M41" s="6"/>
      <c r="N41" s="6"/>
      <c r="O41" s="6"/>
      <c r="P41" s="6"/>
      <c r="Q41" s="6"/>
      <c r="R41" s="6"/>
      <c r="S41" s="6"/>
      <c r="T41" s="6"/>
      <c r="U41" s="6"/>
      <c r="V41" s="6"/>
      <c r="W41" s="6"/>
      <c r="X41" s="6"/>
      <c r="Y41" s="6"/>
      <c r="Z41" s="6"/>
      <c r="AA41" s="6"/>
      <c r="AB41" s="6"/>
      <c r="AC41" s="6"/>
      <c r="AD41" s="6"/>
      <c r="AE41" s="6" t="s">
        <v>129</v>
      </c>
      <c r="AF41" s="6"/>
      <c r="AG41" s="5"/>
      <c r="AH41" s="1"/>
      <c r="AI41" s="1"/>
    </row>
  </sheetData>
  <conditionalFormatting sqref="D1:D41">
    <cfRule type="cellIs" dxfId="3" priority="1" operator="equal">
      <formula>"Complete"</formula>
    </cfRule>
    <cfRule type="cellIs" dxfId="2" priority="2" operator="equal">
      <formula>"In Progress"</formula>
    </cfRule>
    <cfRule type="cellIs" dxfId="1" priority="3" operator="equal">
      <formula>"Not Started"</formula>
    </cfRule>
    <cfRule type="cellIs" dxfId="0" priority="4" operator="equal">
      <formula>"On Hold"</formula>
    </cfRule>
  </conditionalFormatting>
  <dataValidations count="1">
    <dataValidation type="list" allowBlank="1" showErrorMessage="1" sqref="D2:D41" xr:uid="{00000000-0002-0000-0000-000000000000}">
      <formula1>"Complete,In Progress,Not Started,On Hold"</formula1>
    </dataValidation>
  </dataValidations>
  <hyperlinks>
    <hyperlink ref="G2" r:id="rId1" xr:uid="{00000000-0004-0000-0000-000000000000}"/>
    <hyperlink ref="G3" r:id="rId2" xr:uid="{4B8826B6-10F1-C947-9849-665A367AEF77}"/>
    <hyperlink ref="G4" r:id="rId3" xr:uid="{13386B2A-B8D8-C64E-8B1E-DBD82B1F9D89}"/>
    <hyperlink ref="G5" r:id="rId4" xr:uid="{8EB6557E-F3AE-5845-A870-C08CFB75A365}"/>
    <hyperlink ref="G6" r:id="rId5" xr:uid="{6B081B69-EF88-E746-BEE0-09DF6E5EE0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sector-content-tracker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Nate Attalla</cp:lastModifiedBy>
  <dcterms:created xsi:type="dcterms:W3CDTF">2026-05-01T14:40:21Z</dcterms:created>
  <dcterms:modified xsi:type="dcterms:W3CDTF">2026-05-01T14:40:21Z</dcterms:modified>
</cp:coreProperties>
</file>